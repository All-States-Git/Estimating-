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13_ncr:1_{ED1BC155-3140-4518-B0E5-18DAB11A594B}" xr6:coauthVersionLast="47" xr6:coauthVersionMax="47" xr10:uidLastSave="{00000000-0000-0000-0000-000000000000}"/>
  <bookViews>
    <workbookView xWindow="1410" yWindow="1125" windowWidth="21600" windowHeight="11295" activeTab="1" xr2:uid="{00000000-000D-0000-FFFF-FFFF00000000}"/>
  </bookViews>
  <sheets>
    <sheet name="Dashboard" sheetId="1" r:id="rId1"/>
    <sheet name="Bid Log" sheetId="2" r:id="rId2"/>
    <sheet name="Go-No-Go" sheetId="3" r:id="rId3"/>
    <sheet name="Friday Meeting" sheetId="4" r:id="rId4"/>
    <sheet name="Follow-Up Control" sheetId="5" r:id="rId5"/>
    <sheet name="Data Quality" sheetId="6" r:id="rId6"/>
    <sheet name="Settings" sheetId="7" r:id="rId7"/>
    <sheet name="Instructions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0" i="1" l="1"/>
  <c r="K31" i="1"/>
  <c r="K32" i="1"/>
  <c r="K33" i="1"/>
  <c r="C28" i="6"/>
  <c r="D28" i="6" s="1"/>
  <c r="C23" i="6"/>
  <c r="D23" i="6" s="1"/>
  <c r="C18" i="6"/>
  <c r="D18" i="6" s="1"/>
  <c r="D14" i="6"/>
  <c r="C14" i="6"/>
  <c r="D9" i="6"/>
  <c r="C9" i="6"/>
  <c r="D8" i="6"/>
  <c r="C8" i="6"/>
  <c r="C7" i="6"/>
  <c r="D7" i="6" s="1"/>
  <c r="C6" i="6"/>
  <c r="D6" i="6" s="1"/>
  <c r="G32" i="5"/>
  <c r="F32" i="5"/>
  <c r="E32" i="5"/>
  <c r="D32" i="5"/>
  <c r="G31" i="5"/>
  <c r="F31" i="5"/>
  <c r="E31" i="5"/>
  <c r="D31" i="5"/>
  <c r="G30" i="5"/>
  <c r="F30" i="5"/>
  <c r="E30" i="5"/>
  <c r="D30" i="5"/>
  <c r="G29" i="5"/>
  <c r="F29" i="5"/>
  <c r="E29" i="5"/>
  <c r="D29" i="5"/>
  <c r="G28" i="5"/>
  <c r="F28" i="5"/>
  <c r="E28" i="5"/>
  <c r="D28" i="5"/>
  <c r="G27" i="5"/>
  <c r="F27" i="5"/>
  <c r="E27" i="5"/>
  <c r="D27" i="5"/>
  <c r="G26" i="5"/>
  <c r="F26" i="5"/>
  <c r="E26" i="5"/>
  <c r="D26" i="5"/>
  <c r="F9" i="5"/>
  <c r="F5" i="5"/>
  <c r="F44" i="4"/>
  <c r="E44" i="4"/>
  <c r="D44" i="4"/>
  <c r="F43" i="4"/>
  <c r="D43" i="4"/>
  <c r="F42" i="4"/>
  <c r="D42" i="4"/>
  <c r="F41" i="4"/>
  <c r="D41" i="4"/>
  <c r="F40" i="4"/>
  <c r="D40" i="4"/>
  <c r="E34" i="4"/>
  <c r="E33" i="4"/>
  <c r="E32" i="4"/>
  <c r="E21" i="4"/>
  <c r="E19" i="4"/>
  <c r="E7" i="4"/>
  <c r="E6" i="4"/>
  <c r="E5" i="4"/>
  <c r="B1" i="4"/>
  <c r="M11" i="3"/>
  <c r="N11" i="3" s="1"/>
  <c r="AC16" i="2" s="1"/>
  <c r="L11" i="3"/>
  <c r="C11" i="3"/>
  <c r="B11" i="3"/>
  <c r="N10" i="3"/>
  <c r="AC14" i="2" s="1"/>
  <c r="M10" i="3"/>
  <c r="L10" i="3"/>
  <c r="AB14" i="2" s="1"/>
  <c r="C10" i="3"/>
  <c r="B10" i="3"/>
  <c r="L9" i="3"/>
  <c r="M9" i="3" s="1"/>
  <c r="N9" i="3" s="1"/>
  <c r="AC13" i="2" s="1"/>
  <c r="C9" i="3"/>
  <c r="B9" i="3"/>
  <c r="L8" i="3"/>
  <c r="M8" i="3" s="1"/>
  <c r="N8" i="3" s="1"/>
  <c r="AC12" i="2" s="1"/>
  <c r="C8" i="3"/>
  <c r="B8" i="3"/>
  <c r="M7" i="3"/>
  <c r="N7" i="3" s="1"/>
  <c r="AC10" i="2" s="1"/>
  <c r="L7" i="3"/>
  <c r="C7" i="3"/>
  <c r="B7" i="3"/>
  <c r="L6" i="3"/>
  <c r="M6" i="3" s="1"/>
  <c r="N6" i="3" s="1"/>
  <c r="AC8" i="2" s="1"/>
  <c r="C6" i="3"/>
  <c r="B6" i="3"/>
  <c r="L5" i="3"/>
  <c r="M5" i="3" s="1"/>
  <c r="N5" i="3" s="1"/>
  <c r="AC6" i="2" s="1"/>
  <c r="C5" i="3"/>
  <c r="B5" i="3"/>
  <c r="L4" i="3"/>
  <c r="AB4" i="2" s="1"/>
  <c r="C4" i="3"/>
  <c r="B4" i="3"/>
  <c r="L3" i="3"/>
  <c r="M3" i="3" s="1"/>
  <c r="N3" i="3" s="1"/>
  <c r="AC2" i="2" s="1"/>
  <c r="C3" i="3"/>
  <c r="B3" i="3"/>
  <c r="AF74" i="2"/>
  <c r="AE74" i="2"/>
  <c r="AD74" i="2"/>
  <c r="AC74" i="2"/>
  <c r="AB74" i="2"/>
  <c r="P74" i="2"/>
  <c r="AE73" i="2"/>
  <c r="AD73" i="2"/>
  <c r="AC73" i="2"/>
  <c r="AB73" i="2"/>
  <c r="P73" i="2"/>
  <c r="AF73" i="2" s="1"/>
  <c r="AE72" i="2"/>
  <c r="AD72" i="2"/>
  <c r="AC72" i="2"/>
  <c r="AB72" i="2"/>
  <c r="P72" i="2"/>
  <c r="AF72" i="2" s="1"/>
  <c r="AF71" i="2"/>
  <c r="AE71" i="2"/>
  <c r="AD71" i="2"/>
  <c r="AC71" i="2"/>
  <c r="AB71" i="2"/>
  <c r="P71" i="2"/>
  <c r="AF70" i="2"/>
  <c r="AE70" i="2"/>
  <c r="AD70" i="2"/>
  <c r="AC70" i="2"/>
  <c r="AB70" i="2"/>
  <c r="P70" i="2"/>
  <c r="AE69" i="2"/>
  <c r="AD69" i="2"/>
  <c r="AC69" i="2"/>
  <c r="AB69" i="2"/>
  <c r="P69" i="2"/>
  <c r="AF69" i="2" s="1"/>
  <c r="AE68" i="2"/>
  <c r="AD68" i="2"/>
  <c r="AC68" i="2"/>
  <c r="AB68" i="2"/>
  <c r="P68" i="2"/>
  <c r="J4" i="1" s="1"/>
  <c r="AF67" i="2"/>
  <c r="AE67" i="2"/>
  <c r="AD67" i="2"/>
  <c r="AC67" i="2"/>
  <c r="AB67" i="2"/>
  <c r="P67" i="2"/>
  <c r="AF66" i="2"/>
  <c r="AE66" i="2"/>
  <c r="AD66" i="2"/>
  <c r="AC66" i="2"/>
  <c r="AB66" i="2"/>
  <c r="P66" i="2"/>
  <c r="AE65" i="2"/>
  <c r="AD65" i="2"/>
  <c r="AC65" i="2"/>
  <c r="AB65" i="2"/>
  <c r="P65" i="2"/>
  <c r="AF65" i="2" s="1"/>
  <c r="AF64" i="2"/>
  <c r="AE64" i="2"/>
  <c r="AD64" i="2"/>
  <c r="AC64" i="2"/>
  <c r="AB64" i="2"/>
  <c r="P64" i="2"/>
  <c r="AF63" i="2"/>
  <c r="AE63" i="2"/>
  <c r="AD63" i="2"/>
  <c r="AC63" i="2"/>
  <c r="AB63" i="2"/>
  <c r="P63" i="2"/>
  <c r="AE62" i="2"/>
  <c r="AD62" i="2"/>
  <c r="AC62" i="2"/>
  <c r="AB62" i="2"/>
  <c r="P62" i="2"/>
  <c r="AF62" i="2" s="1"/>
  <c r="AE61" i="2"/>
  <c r="AD61" i="2"/>
  <c r="AC61" i="2"/>
  <c r="AB61" i="2"/>
  <c r="P61" i="2"/>
  <c r="AF61" i="2" s="1"/>
  <c r="AF60" i="2"/>
  <c r="AE60" i="2"/>
  <c r="AD60" i="2"/>
  <c r="AC60" i="2"/>
  <c r="AB60" i="2"/>
  <c r="P60" i="2"/>
  <c r="AF59" i="2"/>
  <c r="AE59" i="2"/>
  <c r="AD59" i="2"/>
  <c r="AC59" i="2"/>
  <c r="AB59" i="2"/>
  <c r="P59" i="2"/>
  <c r="AE58" i="2"/>
  <c r="AD58" i="2"/>
  <c r="AC58" i="2"/>
  <c r="AB58" i="2"/>
  <c r="P58" i="2"/>
  <c r="AF58" i="2" s="1"/>
  <c r="AE57" i="2"/>
  <c r="AD57" i="2"/>
  <c r="AC57" i="2"/>
  <c r="AB57" i="2"/>
  <c r="P57" i="2"/>
  <c r="AF57" i="2" s="1"/>
  <c r="AF56" i="2"/>
  <c r="AE56" i="2"/>
  <c r="AD56" i="2"/>
  <c r="AC56" i="2"/>
  <c r="AB56" i="2"/>
  <c r="P56" i="2"/>
  <c r="AF55" i="2"/>
  <c r="AE55" i="2"/>
  <c r="AD55" i="2"/>
  <c r="AC55" i="2"/>
  <c r="AB55" i="2"/>
  <c r="P55" i="2"/>
  <c r="AE54" i="2"/>
  <c r="AD54" i="2"/>
  <c r="AC54" i="2"/>
  <c r="AB54" i="2"/>
  <c r="P54" i="2"/>
  <c r="AF54" i="2" s="1"/>
  <c r="AF53" i="2"/>
  <c r="AE53" i="2"/>
  <c r="AD53" i="2"/>
  <c r="AC53" i="2"/>
  <c r="AB53" i="2"/>
  <c r="P53" i="2"/>
  <c r="AF52" i="2"/>
  <c r="AE52" i="2"/>
  <c r="AD52" i="2"/>
  <c r="AC52" i="2"/>
  <c r="AB52" i="2"/>
  <c r="P52" i="2"/>
  <c r="AE51" i="2"/>
  <c r="AD51" i="2"/>
  <c r="AC51" i="2"/>
  <c r="AB51" i="2"/>
  <c r="P51" i="2"/>
  <c r="AF51" i="2" s="1"/>
  <c r="AE50" i="2"/>
  <c r="AD50" i="2"/>
  <c r="AC50" i="2"/>
  <c r="AB50" i="2"/>
  <c r="P50" i="2"/>
  <c r="E30" i="1" s="1"/>
  <c r="AF49" i="2"/>
  <c r="AE49" i="2"/>
  <c r="AD49" i="2"/>
  <c r="AC49" i="2"/>
  <c r="AB49" i="2"/>
  <c r="P49" i="2"/>
  <c r="AF48" i="2"/>
  <c r="AE48" i="2"/>
  <c r="AD48" i="2"/>
  <c r="AC48" i="2"/>
  <c r="AB48" i="2"/>
  <c r="P48" i="2"/>
  <c r="AE47" i="2"/>
  <c r="AD47" i="2"/>
  <c r="AC47" i="2"/>
  <c r="AB47" i="2"/>
  <c r="P47" i="2"/>
  <c r="AF47" i="2" s="1"/>
  <c r="AE46" i="2"/>
  <c r="AD46" i="2"/>
  <c r="AC46" i="2"/>
  <c r="AB46" i="2"/>
  <c r="P46" i="2"/>
  <c r="AF46" i="2" s="1"/>
  <c r="AF45" i="2"/>
  <c r="AE45" i="2"/>
  <c r="AD45" i="2"/>
  <c r="AC45" i="2"/>
  <c r="AB45" i="2"/>
  <c r="P45" i="2"/>
  <c r="AF44" i="2"/>
  <c r="AE44" i="2"/>
  <c r="AD44" i="2"/>
  <c r="AC44" i="2"/>
  <c r="AB44" i="2"/>
  <c r="E28" i="4" s="1"/>
  <c r="P44" i="2"/>
  <c r="AE43" i="2"/>
  <c r="AD43" i="2"/>
  <c r="AC43" i="2"/>
  <c r="AB43" i="2"/>
  <c r="P43" i="2"/>
  <c r="AF43" i="2" s="1"/>
  <c r="AF42" i="2"/>
  <c r="AE42" i="2"/>
  <c r="AD42" i="2"/>
  <c r="AC42" i="2"/>
  <c r="AB42" i="2"/>
  <c r="P42" i="2"/>
  <c r="AF41" i="2"/>
  <c r="AE41" i="2"/>
  <c r="AD41" i="2"/>
  <c r="AC41" i="2"/>
  <c r="AB41" i="2"/>
  <c r="P41" i="2"/>
  <c r="AE40" i="2"/>
  <c r="AD40" i="2"/>
  <c r="AC40" i="2"/>
  <c r="AB40" i="2"/>
  <c r="P40" i="2"/>
  <c r="AF40" i="2" s="1"/>
  <c r="AE39" i="2"/>
  <c r="AD39" i="2"/>
  <c r="AC39" i="2"/>
  <c r="AB39" i="2"/>
  <c r="P39" i="2"/>
  <c r="F4" i="1" s="1"/>
  <c r="AF38" i="2"/>
  <c r="AE38" i="2"/>
  <c r="AD38" i="2"/>
  <c r="AC38" i="2"/>
  <c r="AB38" i="2"/>
  <c r="P38" i="2"/>
  <c r="AF37" i="2"/>
  <c r="AE37" i="2"/>
  <c r="AD37" i="2"/>
  <c r="AC37" i="2"/>
  <c r="AB37" i="2"/>
  <c r="P37" i="2"/>
  <c r="AE36" i="2"/>
  <c r="AD36" i="2"/>
  <c r="AC36" i="2"/>
  <c r="AB36" i="2"/>
  <c r="P36" i="2"/>
  <c r="AF36" i="2" s="1"/>
  <c r="AE35" i="2"/>
  <c r="AD35" i="2"/>
  <c r="AC35" i="2"/>
  <c r="AB35" i="2"/>
  <c r="P35" i="2"/>
  <c r="E31" i="1" s="1"/>
  <c r="AF34" i="2"/>
  <c r="AE34" i="2"/>
  <c r="AD34" i="2"/>
  <c r="AC34" i="2"/>
  <c r="AB34" i="2"/>
  <c r="P34" i="2"/>
  <c r="AF33" i="2"/>
  <c r="AE33" i="2"/>
  <c r="AD33" i="2"/>
  <c r="AC33" i="2"/>
  <c r="AB33" i="2"/>
  <c r="P33" i="2"/>
  <c r="AE32" i="2"/>
  <c r="AD32" i="2"/>
  <c r="AC32" i="2"/>
  <c r="AB32" i="2"/>
  <c r="P32" i="2"/>
  <c r="AF32" i="2" s="1"/>
  <c r="AF31" i="2"/>
  <c r="AE31" i="2"/>
  <c r="AD31" i="2"/>
  <c r="AC31" i="2"/>
  <c r="AB31" i="2"/>
  <c r="P31" i="2"/>
  <c r="AF30" i="2"/>
  <c r="AE30" i="2"/>
  <c r="AD30" i="2"/>
  <c r="AC30" i="2"/>
  <c r="AB30" i="2"/>
  <c r="P30" i="2"/>
  <c r="AE29" i="2"/>
  <c r="AD29" i="2"/>
  <c r="AC29" i="2"/>
  <c r="AB29" i="2"/>
  <c r="P29" i="2"/>
  <c r="AF29" i="2" s="1"/>
  <c r="AE28" i="2"/>
  <c r="AD28" i="2"/>
  <c r="AC28" i="2"/>
  <c r="AB28" i="2"/>
  <c r="P28" i="2"/>
  <c r="AF28" i="2" s="1"/>
  <c r="AF27" i="2"/>
  <c r="AE27" i="2"/>
  <c r="AD27" i="2"/>
  <c r="AC27" i="2"/>
  <c r="AB27" i="2"/>
  <c r="P27" i="2"/>
  <c r="AF26" i="2"/>
  <c r="AE26" i="2"/>
  <c r="AD26" i="2"/>
  <c r="AC26" i="2"/>
  <c r="AB26" i="2"/>
  <c r="P26" i="2"/>
  <c r="AE25" i="2"/>
  <c r="AD25" i="2"/>
  <c r="AC25" i="2"/>
  <c r="AB25" i="2"/>
  <c r="P25" i="2"/>
  <c r="AF25" i="2" s="1"/>
  <c r="AE24" i="2"/>
  <c r="AD24" i="2"/>
  <c r="AC24" i="2"/>
  <c r="AB24" i="2"/>
  <c r="P24" i="2"/>
  <c r="AF24" i="2" s="1"/>
  <c r="AF23" i="2"/>
  <c r="AE23" i="2"/>
  <c r="AD23" i="2"/>
  <c r="AC23" i="2"/>
  <c r="AB23" i="2"/>
  <c r="P23" i="2"/>
  <c r="F15" i="1" s="1"/>
  <c r="AF22" i="2"/>
  <c r="AE22" i="2"/>
  <c r="AD22" i="2"/>
  <c r="AC22" i="2"/>
  <c r="AB22" i="2"/>
  <c r="P22" i="2"/>
  <c r="AE21" i="2"/>
  <c r="AD21" i="2"/>
  <c r="AC21" i="2"/>
  <c r="AB21" i="2"/>
  <c r="P21" i="2"/>
  <c r="AF21" i="2" s="1"/>
  <c r="AF20" i="2"/>
  <c r="AE20" i="2"/>
  <c r="AD20" i="2"/>
  <c r="AC20" i="2"/>
  <c r="AB20" i="2"/>
  <c r="P20" i="2"/>
  <c r="AF19" i="2"/>
  <c r="AE19" i="2"/>
  <c r="AD19" i="2"/>
  <c r="AC19" i="2"/>
  <c r="AB19" i="2"/>
  <c r="P19" i="2"/>
  <c r="AE18" i="2"/>
  <c r="AD18" i="2"/>
  <c r="AC18" i="2"/>
  <c r="AB18" i="2"/>
  <c r="P18" i="2"/>
  <c r="AF18" i="2" s="1"/>
  <c r="AE17" i="2"/>
  <c r="AD17" i="2"/>
  <c r="AC17" i="2"/>
  <c r="AB17" i="2"/>
  <c r="P17" i="2"/>
  <c r="AF17" i="2" s="1"/>
  <c r="AF16" i="2"/>
  <c r="AE16" i="2"/>
  <c r="AD16" i="2"/>
  <c r="AB16" i="2"/>
  <c r="P16" i="2"/>
  <c r="AF15" i="2"/>
  <c r="AE15" i="2"/>
  <c r="AD15" i="2"/>
  <c r="AC15" i="2"/>
  <c r="AB15" i="2"/>
  <c r="P15" i="2"/>
  <c r="AE14" i="2"/>
  <c r="AD14" i="2"/>
  <c r="P14" i="2"/>
  <c r="AF14" i="2" s="1"/>
  <c r="AE13" i="2"/>
  <c r="AD13" i="2"/>
  <c r="AB13" i="2"/>
  <c r="P13" i="2"/>
  <c r="AF13" i="2" s="1"/>
  <c r="AF12" i="2"/>
  <c r="AE12" i="2"/>
  <c r="AD12" i="2"/>
  <c r="P12" i="2"/>
  <c r="AF11" i="2"/>
  <c r="AE11" i="2"/>
  <c r="AD11" i="2"/>
  <c r="AC11" i="2"/>
  <c r="AB11" i="2"/>
  <c r="P11" i="2"/>
  <c r="AE10" i="2"/>
  <c r="AD10" i="2"/>
  <c r="AB10" i="2"/>
  <c r="P10" i="2"/>
  <c r="AF10" i="2" s="1"/>
  <c r="AF9" i="2"/>
  <c r="AE9" i="2"/>
  <c r="AD9" i="2"/>
  <c r="AC9" i="2"/>
  <c r="AB9" i="2"/>
  <c r="P9" i="2"/>
  <c r="AF8" i="2"/>
  <c r="AE8" i="2"/>
  <c r="AD8" i="2"/>
  <c r="AB8" i="2"/>
  <c r="P8" i="2"/>
  <c r="AE7" i="2"/>
  <c r="AD7" i="2"/>
  <c r="AC7" i="2"/>
  <c r="AB7" i="2"/>
  <c r="P7" i="2"/>
  <c r="AF7" i="2" s="1"/>
  <c r="AE6" i="2"/>
  <c r="AD6" i="2"/>
  <c r="AB6" i="2"/>
  <c r="P6" i="2"/>
  <c r="AF6" i="2" s="1"/>
  <c r="AF5" i="2"/>
  <c r="AE5" i="2"/>
  <c r="AD5" i="2"/>
  <c r="AC5" i="2"/>
  <c r="AB5" i="2"/>
  <c r="P5" i="2"/>
  <c r="AF4" i="2"/>
  <c r="AE4" i="2"/>
  <c r="AD4" i="2"/>
  <c r="P4" i="2"/>
  <c r="AE3" i="2"/>
  <c r="AD3" i="2"/>
  <c r="AC3" i="2"/>
  <c r="AB3" i="2"/>
  <c r="P3" i="2"/>
  <c r="AF3" i="2" s="1"/>
  <c r="AE2" i="2"/>
  <c r="AD2" i="2"/>
  <c r="P2" i="2"/>
  <c r="E22" i="4" s="1"/>
  <c r="H45" i="1"/>
  <c r="F45" i="1"/>
  <c r="H44" i="1"/>
  <c r="F44" i="1"/>
  <c r="H43" i="1"/>
  <c r="F43" i="1"/>
  <c r="H42" i="1"/>
  <c r="F42" i="1"/>
  <c r="H41" i="1"/>
  <c r="F41" i="1"/>
  <c r="H40" i="1"/>
  <c r="F40" i="1"/>
  <c r="H39" i="1"/>
  <c r="F39" i="1"/>
  <c r="F38" i="1"/>
  <c r="H37" i="1"/>
  <c r="F37" i="1"/>
  <c r="J33" i="1"/>
  <c r="H33" i="1"/>
  <c r="G33" i="1"/>
  <c r="E33" i="1"/>
  <c r="D33" i="1"/>
  <c r="J32" i="1"/>
  <c r="H32" i="1"/>
  <c r="G32" i="1"/>
  <c r="E32" i="1"/>
  <c r="D32" i="1"/>
  <c r="J31" i="1"/>
  <c r="H31" i="1"/>
  <c r="G31" i="1"/>
  <c r="D31" i="1"/>
  <c r="J30" i="1"/>
  <c r="H30" i="1"/>
  <c r="G30" i="1"/>
  <c r="D30" i="1"/>
  <c r="J29" i="1"/>
  <c r="K29" i="1" s="1"/>
  <c r="H29" i="1"/>
  <c r="G29" i="1"/>
  <c r="D29" i="1"/>
  <c r="J25" i="1"/>
  <c r="I25" i="1"/>
  <c r="H25" i="1"/>
  <c r="L25" i="1" s="1"/>
  <c r="F25" i="1"/>
  <c r="E25" i="1"/>
  <c r="J24" i="1"/>
  <c r="I24" i="1"/>
  <c r="H24" i="1"/>
  <c r="L24" i="1" s="1"/>
  <c r="F24" i="1"/>
  <c r="E24" i="1"/>
  <c r="J23" i="1"/>
  <c r="I23" i="1"/>
  <c r="H23" i="1"/>
  <c r="L23" i="1" s="1"/>
  <c r="F23" i="1"/>
  <c r="E23" i="1"/>
  <c r="L22" i="1"/>
  <c r="J22" i="1"/>
  <c r="I22" i="1"/>
  <c r="H22" i="1"/>
  <c r="F22" i="1"/>
  <c r="E22" i="1"/>
  <c r="L21" i="1"/>
  <c r="J21" i="1"/>
  <c r="I21" i="1"/>
  <c r="H21" i="1"/>
  <c r="E21" i="1"/>
  <c r="J20" i="1"/>
  <c r="I20" i="1"/>
  <c r="H20" i="1"/>
  <c r="L20" i="1" s="1"/>
  <c r="E20" i="1"/>
  <c r="J19" i="1"/>
  <c r="I19" i="1"/>
  <c r="H19" i="1"/>
  <c r="L19" i="1" s="1"/>
  <c r="F19" i="1"/>
  <c r="E19" i="1"/>
  <c r="J18" i="1"/>
  <c r="I18" i="1"/>
  <c r="H18" i="1"/>
  <c r="L18" i="1" s="1"/>
  <c r="F18" i="1"/>
  <c r="E18" i="1"/>
  <c r="J17" i="1"/>
  <c r="I17" i="1"/>
  <c r="H17" i="1"/>
  <c r="L17" i="1" s="1"/>
  <c r="E17" i="1"/>
  <c r="J16" i="1"/>
  <c r="I16" i="1"/>
  <c r="H16" i="1"/>
  <c r="L16" i="1" s="1"/>
  <c r="F16" i="1"/>
  <c r="E16" i="1"/>
  <c r="J15" i="1"/>
  <c r="I15" i="1"/>
  <c r="L15" i="1" s="1"/>
  <c r="H15" i="1"/>
  <c r="E15" i="1"/>
  <c r="J14" i="1"/>
  <c r="I14" i="1"/>
  <c r="H14" i="1"/>
  <c r="L14" i="1" s="1"/>
  <c r="F14" i="1"/>
  <c r="E14" i="1"/>
  <c r="J13" i="1"/>
  <c r="I13" i="1"/>
  <c r="H13" i="1"/>
  <c r="L13" i="1" s="1"/>
  <c r="F13" i="1"/>
  <c r="E13" i="1"/>
  <c r="J12" i="1"/>
  <c r="I12" i="1"/>
  <c r="H12" i="1"/>
  <c r="L12" i="1" s="1"/>
  <c r="E12" i="1"/>
  <c r="L11" i="1"/>
  <c r="J11" i="1"/>
  <c r="I11" i="1"/>
  <c r="H11" i="1"/>
  <c r="F11" i="1"/>
  <c r="E11" i="1"/>
  <c r="J7" i="1"/>
  <c r="H7" i="1"/>
  <c r="D7" i="1"/>
  <c r="B7" i="1"/>
  <c r="D4" i="1"/>
  <c r="B2" i="1"/>
  <c r="E11" i="4" l="1"/>
  <c r="C29" i="6"/>
  <c r="D29" i="6" s="1"/>
  <c r="F6" i="5"/>
  <c r="C24" i="6"/>
  <c r="D24" i="6" s="1"/>
  <c r="F16" i="5"/>
  <c r="F7" i="5"/>
  <c r="F8" i="5"/>
  <c r="F12" i="1"/>
  <c r="AB12" i="2"/>
  <c r="E35" i="4"/>
  <c r="F13" i="5"/>
  <c r="C10" i="6"/>
  <c r="D10" i="6" s="1"/>
  <c r="E29" i="1"/>
  <c r="F12" i="5"/>
  <c r="F14" i="5"/>
  <c r="E40" i="4"/>
  <c r="F15" i="5"/>
  <c r="F17" i="5"/>
  <c r="E41" i="4"/>
  <c r="F20" i="5"/>
  <c r="C22" i="6"/>
  <c r="D22" i="6" s="1"/>
  <c r="AB2" i="2"/>
  <c r="E12" i="4"/>
  <c r="E42" i="4"/>
  <c r="F22" i="5"/>
  <c r="F20" i="1"/>
  <c r="AF2" i="2"/>
  <c r="AF35" i="2"/>
  <c r="AF68" i="2"/>
  <c r="E13" i="4"/>
  <c r="B4" i="1"/>
  <c r="M4" i="3"/>
  <c r="N4" i="3" s="1"/>
  <c r="AC4" i="2" s="1"/>
  <c r="E27" i="4" s="1"/>
  <c r="E14" i="4"/>
  <c r="H38" i="1"/>
  <c r="AF39" i="2"/>
  <c r="AF50" i="2"/>
  <c r="E15" i="4"/>
  <c r="E43" i="4"/>
  <c r="F21" i="5"/>
  <c r="H4" i="1"/>
  <c r="F17" i="1"/>
  <c r="E20" i="4"/>
  <c r="F21" i="1"/>
  <c r="F7" i="1"/>
  <c r="C33" i="6" l="1"/>
  <c r="D33" i="6" s="1"/>
  <c r="E26" i="4"/>
</calcChain>
</file>

<file path=xl/sharedStrings.xml><?xml version="1.0" encoding="utf-8"?>
<sst xmlns="http://schemas.openxmlformats.org/spreadsheetml/2006/main" count="1298" uniqueCount="524">
  <si>
    <t>ASM PRECONSTRUCTION PIPELINE TRACKER V9  —  DASHBOARD</t>
  </si>
  <si>
    <t>TOTAL BID VOLUME YTD</t>
  </si>
  <si>
    <t>AWARDED VOLUME YTD</t>
  </si>
  <si>
    <t>LOST VOLUME YTD</t>
  </si>
  <si>
    <t>PENDING VOLUME</t>
  </si>
  <si>
    <t>WIN RATE (BY $)</t>
  </si>
  <si>
    <t>HIGH-PROB PENDING (≥70%)</t>
  </si>
  <si>
    <t>BIDS DUE NEXT 7 DAYS</t>
  </si>
  <si>
    <t>FOLLOW-UPS PAST DUE</t>
  </si>
  <si>
    <t>EXPECTED AWARDS THIS MONTH</t>
  </si>
  <si>
    <t>WIN RATE (BY COUNT)</t>
  </si>
  <si>
    <t xml:space="preserve">  BID VOLUME BY MARKET SEGMENT</t>
  </si>
  <si>
    <t>Market Segment</t>
  </si>
  <si>
    <t># Bids</t>
  </si>
  <si>
    <t>Bid Volume</t>
  </si>
  <si>
    <t># Awarded</t>
  </si>
  <si>
    <t># Lost</t>
  </si>
  <si>
    <t>Awarded $</t>
  </si>
  <si>
    <t>Win Rate</t>
  </si>
  <si>
    <t>Correctional</t>
  </si>
  <si>
    <t>Education</t>
  </si>
  <si>
    <t>Federal / Government</t>
  </si>
  <si>
    <t>Food Service</t>
  </si>
  <si>
    <t>Healthcare</t>
  </si>
  <si>
    <t>Hotel / Resort</t>
  </si>
  <si>
    <t>Industrial / Manufacturing</t>
  </si>
  <si>
    <t>Mission Critical</t>
  </si>
  <si>
    <t>Multi-Family</t>
  </si>
  <si>
    <t>Municipal</t>
  </si>
  <si>
    <t>Professional Office</t>
  </si>
  <si>
    <t>Religious / Cultural</t>
  </si>
  <si>
    <t>Retail</t>
  </si>
  <si>
    <t>Transportation</t>
  </si>
  <si>
    <t>Warehouse / Distribution</t>
  </si>
  <si>
    <t xml:space="preserve">  PLUMB ESTIMATOR WORKLOAD &amp; PERFORMANCE</t>
  </si>
  <si>
    <t>Plumb Estimator</t>
  </si>
  <si>
    <t>Active Bids</t>
  </si>
  <si>
    <t>Active Volume</t>
  </si>
  <si>
    <t>Awarded</t>
  </si>
  <si>
    <t>Lost</t>
  </si>
  <si>
    <t>Patrick</t>
  </si>
  <si>
    <t>Cristhian</t>
  </si>
  <si>
    <t>Les</t>
  </si>
  <si>
    <t>Sam</t>
  </si>
  <si>
    <t>No Bid</t>
  </si>
  <si>
    <t xml:space="preserve">  LOSSES BY REASON</t>
  </si>
  <si>
    <t>Lost Reason</t>
  </si>
  <si>
    <t>Lost Volume</t>
  </si>
  <si>
    <t>Price</t>
  </si>
  <si>
    <t>Relationship</t>
  </si>
  <si>
    <t>Scope Gap</t>
  </si>
  <si>
    <t>Schedule Conflict</t>
  </si>
  <si>
    <t>No Award</t>
  </si>
  <si>
    <t>Withdrawn by Owner</t>
  </si>
  <si>
    <t>Competition Too Strong</t>
  </si>
  <si>
    <t>Not Qualified</t>
  </si>
  <si>
    <t>Other</t>
  </si>
  <si>
    <t>Bid ID</t>
  </si>
  <si>
    <t>Project Name</t>
  </si>
  <si>
    <t>General Contractor</t>
  </si>
  <si>
    <t>Location</t>
  </si>
  <si>
    <t>Scope Type</t>
  </si>
  <si>
    <t>Bid Stage</t>
  </si>
  <si>
    <t>Delivery Method</t>
  </si>
  <si>
    <t>HVAC Estimator</t>
  </si>
  <si>
    <t>Bid Received</t>
  </si>
  <si>
    <t>Bid Due Date</t>
  </si>
  <si>
    <t>Submitted Date</t>
  </si>
  <si>
    <t>Plumb Bid ($)</t>
  </si>
  <si>
    <t>HVAC Bid ($)</t>
  </si>
  <si>
    <t>Total Bid ($)</t>
  </si>
  <si>
    <t>Status</t>
  </si>
  <si>
    <t>Awarded Amount</t>
  </si>
  <si>
    <t>Winning Competitor</t>
  </si>
  <si>
    <t>Competitor Amount</t>
  </si>
  <si>
    <t>Expected Award Date</t>
  </si>
  <si>
    <t>Probability %</t>
  </si>
  <si>
    <t>Next Follow-Up Date</t>
  </si>
  <si>
    <t>Follow-Up Owner</t>
  </si>
  <si>
    <t>Last Contact Date</t>
  </si>
  <si>
    <t>Notes</t>
  </si>
  <si>
    <t>Go/No-Go Score</t>
  </si>
  <si>
    <t>Go/No-Go Rec</t>
  </si>
  <si>
    <t>Days Pending</t>
  </si>
  <si>
    <t>Follow-Up Status</t>
  </si>
  <si>
    <t>Data Quality Flag</t>
  </si>
  <si>
    <t>ASM-2026-001</t>
  </si>
  <si>
    <t>SLCC LAB Remodel</t>
  </si>
  <si>
    <t>Judd</t>
  </si>
  <si>
    <t/>
  </si>
  <si>
    <t>Full Mechanical</t>
  </si>
  <si>
    <t>Hard Bid</t>
  </si>
  <si>
    <t>Stephen</t>
  </si>
  <si>
    <t>Bid Submitted</t>
  </si>
  <si>
    <t>GCs: Judd, Stout, Rod-Lewis, Wasatch-West</t>
  </si>
  <si>
    <t>ASM-2026-002</t>
  </si>
  <si>
    <t>Granary Lofts</t>
  </si>
  <si>
    <t>Kier</t>
  </si>
  <si>
    <t>GC: Kier (owner-managed)</t>
  </si>
  <si>
    <t>ASM-2026-003</t>
  </si>
  <si>
    <t>Everhome Suites</t>
  </si>
  <si>
    <t>Big-D</t>
  </si>
  <si>
    <t>GCs: Big-D, Zwick, R&amp;O</t>
  </si>
  <si>
    <t>ASM-2026-004</t>
  </si>
  <si>
    <t>Bluffdale City Admin</t>
  </si>
  <si>
    <t>Rod-Lewis</t>
  </si>
  <si>
    <t>Bluffdale, UT</t>
  </si>
  <si>
    <t>GCs: Rod-Lewis, Judd, Mahas, Bailey, Silverleaf</t>
  </si>
  <si>
    <t>ASM-2026-005</t>
  </si>
  <si>
    <t>Crown Apt Remodel</t>
  </si>
  <si>
    <t>Lotus</t>
  </si>
  <si>
    <t>ASM-2026-006</t>
  </si>
  <si>
    <t>The Collective @ Morning Vista</t>
  </si>
  <si>
    <t>Robinson</t>
  </si>
  <si>
    <t>GCs: Robinson, R&amp;O</t>
  </si>
  <si>
    <t>ASM-2026-007</t>
  </si>
  <si>
    <t>Jordan Valley Lots 8, 9, 10</t>
  </si>
  <si>
    <t>BCC</t>
  </si>
  <si>
    <t>West Jordan, UT</t>
  </si>
  <si>
    <t>GC: BCC</t>
  </si>
  <si>
    <t>ASM-2026-008</t>
  </si>
  <si>
    <t>Pacific Yard Apt</t>
  </si>
  <si>
    <t>GCs: Kier, Headwaters, RVC</t>
  </si>
  <si>
    <t>ASM-2026-009</t>
  </si>
  <si>
    <t>Antelope Station</t>
  </si>
  <si>
    <t>Revival Development</t>
  </si>
  <si>
    <t>ASM-2026-010</t>
  </si>
  <si>
    <t>Red Sky Apt</t>
  </si>
  <si>
    <t>GC: BCC (owner-managed)</t>
  </si>
  <si>
    <t>ASM-2026-011</t>
  </si>
  <si>
    <t>HH Parking Structure</t>
  </si>
  <si>
    <t>Wadman</t>
  </si>
  <si>
    <t>Plumbing Only</t>
  </si>
  <si>
    <t>GCs: Wadman, Forge</t>
  </si>
  <si>
    <t>ASM-2026-012</t>
  </si>
  <si>
    <t>The Royce</t>
  </si>
  <si>
    <t>GC: Wadman</t>
  </si>
  <si>
    <t>ASM-2026-013</t>
  </si>
  <si>
    <t>Crossroads Urban Center</t>
  </si>
  <si>
    <t>Cameron</t>
  </si>
  <si>
    <t>GC: Cameron</t>
  </si>
  <si>
    <t>ASM-2026-014</t>
  </si>
  <si>
    <t>Mojave Crossing</t>
  </si>
  <si>
    <t>EK Bailey</t>
  </si>
  <si>
    <t>GC: EK Bailey</t>
  </si>
  <si>
    <t>ASM-2026-015</t>
  </si>
  <si>
    <t>Goodyear Flex Bldg</t>
  </si>
  <si>
    <t>Campbell</t>
  </si>
  <si>
    <t>Goodyear, AZ</t>
  </si>
  <si>
    <t>GC: Campbell</t>
  </si>
  <si>
    <t>ASM-2026-016</t>
  </si>
  <si>
    <t>Salt Lake Excavating</t>
  </si>
  <si>
    <t>Salt Lake City, UT</t>
  </si>
  <si>
    <t>ASM-2026-017</t>
  </si>
  <si>
    <t>The Hive on 11th</t>
  </si>
  <si>
    <t>Bonneville</t>
  </si>
  <si>
    <t>GC: Bonneville</t>
  </si>
  <si>
    <t>ASM-2026-018</t>
  </si>
  <si>
    <t>Radnet Corp. Office</t>
  </si>
  <si>
    <t>GCs: Big-D, Westland, Bonneville, R&amp;O, Eckman</t>
  </si>
  <si>
    <t>ASM-2026-019</t>
  </si>
  <si>
    <t>Kari Sue Hamilton Remodel</t>
  </si>
  <si>
    <t>GCs: Judd, Mahas</t>
  </si>
  <si>
    <t>ASM-2026-020</t>
  </si>
  <si>
    <t>St. George AP Add</t>
  </si>
  <si>
    <t>St. George, UT</t>
  </si>
  <si>
    <t>GCs: Big-D, Westland, Bonneville, R&amp;O</t>
  </si>
  <si>
    <t>ASM-2026-021</t>
  </si>
  <si>
    <t>Stryker Kitchen &amp; Café Remodel</t>
  </si>
  <si>
    <t>Engage Contracting</t>
  </si>
  <si>
    <t>GC: Engage Contracting</t>
  </si>
  <si>
    <t>ASM-2026-022</t>
  </si>
  <si>
    <t>HCA West Jordan FSER</t>
  </si>
  <si>
    <t>Nabholz Construction</t>
  </si>
  <si>
    <t>Free Standing Emergency Room</t>
  </si>
  <si>
    <t>ASM-2026-023</t>
  </si>
  <si>
    <t>UTA Mt. Ogden Admin</t>
  </si>
  <si>
    <t>Poulson</t>
  </si>
  <si>
    <t>Ogden, UT</t>
  </si>
  <si>
    <t>GCs: Poulson, Westland</t>
  </si>
  <si>
    <t>ASM-2026-024</t>
  </si>
  <si>
    <t>Delta Cargo</t>
  </si>
  <si>
    <t>GC: Big-D</t>
  </si>
  <si>
    <t>ASM-2026-025</t>
  </si>
  <si>
    <t>American Cruise Lines</t>
  </si>
  <si>
    <t>GCs: Engage, Stout</t>
  </si>
  <si>
    <t>ASM-2026-026</t>
  </si>
  <si>
    <t>IH Southridge</t>
  </si>
  <si>
    <t>Layton</t>
  </si>
  <si>
    <t>GC: Layton</t>
  </si>
  <si>
    <t>ASM-2026-027</t>
  </si>
  <si>
    <t>Canyons Innovation Center</t>
  </si>
  <si>
    <t>Hughes</t>
  </si>
  <si>
    <t>GC: Hughes</t>
  </si>
  <si>
    <t>ASM-2026-028</t>
  </si>
  <si>
    <t>UofU Bus Garage</t>
  </si>
  <si>
    <t>Fortis</t>
  </si>
  <si>
    <t>GC: Fortis</t>
  </si>
  <si>
    <t>ASM-2026-029</t>
  </si>
  <si>
    <t>AF Police Station Remodel</t>
  </si>
  <si>
    <t>Stout</t>
  </si>
  <si>
    <t>American Fork, UT</t>
  </si>
  <si>
    <t>GCs: Stout, Miller, Warner, Wasatch-West, Big-D, KDK, Judd</t>
  </si>
  <si>
    <t>ASM-2026-030</t>
  </si>
  <si>
    <t>Ogden Weber Tech</t>
  </si>
  <si>
    <t>Gramoll</t>
  </si>
  <si>
    <t>GCs: Gramoll, R&amp;O</t>
  </si>
  <si>
    <t>ASM-2026-031</t>
  </si>
  <si>
    <t>BYU Tanner</t>
  </si>
  <si>
    <t>Stallings</t>
  </si>
  <si>
    <t>Provo, UT</t>
  </si>
  <si>
    <t>GC: Stallings</t>
  </si>
  <si>
    <t>ASM-2026-032</t>
  </si>
  <si>
    <t>Ford Training Center</t>
  </si>
  <si>
    <t>GC: Judd</t>
  </si>
  <si>
    <t>ASM-2026-033</t>
  </si>
  <si>
    <t>Coleman Orthodontics</t>
  </si>
  <si>
    <t>ASM-2026-034</t>
  </si>
  <si>
    <t>UofU PET</t>
  </si>
  <si>
    <t>ASM-2026-035</t>
  </si>
  <si>
    <t>Project Bedrock</t>
  </si>
  <si>
    <t>Brinkmann</t>
  </si>
  <si>
    <t>GC: Brinkmann Construction</t>
  </si>
  <si>
    <t>ASM-2026-036</t>
  </si>
  <si>
    <t>Northwest Yardworks</t>
  </si>
  <si>
    <t>Forge Contractors</t>
  </si>
  <si>
    <t>GC: Forge Contractors</t>
  </si>
  <si>
    <t>ASM-2026-037</t>
  </si>
  <si>
    <t>Skims</t>
  </si>
  <si>
    <t>Sheiner Commercial Group</t>
  </si>
  <si>
    <t>GC: Sheiner Commercial Group</t>
  </si>
  <si>
    <t>ASM-2026-038</t>
  </si>
  <si>
    <t>U of U Fan Coil Replacement</t>
  </si>
  <si>
    <t>HVAC Only</t>
  </si>
  <si>
    <t>Budget</t>
  </si>
  <si>
    <t>Negotiated</t>
  </si>
  <si>
    <t>ASM-2026-039</t>
  </si>
  <si>
    <t>UVH Sorenson 9th Floor Remodel</t>
  </si>
  <si>
    <t>ASM-2026-040</t>
  </si>
  <si>
    <t>Sharon Elementary Remodel</t>
  </si>
  <si>
    <t>Westland</t>
  </si>
  <si>
    <t>GCs: Westland &amp; Judd</t>
  </si>
  <si>
    <t>ASM-2026-041</t>
  </si>
  <si>
    <t>The Point Parcel H3A</t>
  </si>
  <si>
    <t>R&amp;O</t>
  </si>
  <si>
    <t>Budget Only</t>
  </si>
  <si>
    <t>GC: R&amp;O — budget pricing</t>
  </si>
  <si>
    <t>ASM-2026-042</t>
  </si>
  <si>
    <t>Xenter</t>
  </si>
  <si>
    <t>Jacobsen Construction</t>
  </si>
  <si>
    <t>GC: Jacobsen Construction — budget pricing</t>
  </si>
  <si>
    <t>ASM-2026-043</t>
  </si>
  <si>
    <t>ARA Southwest (St. George)</t>
  </si>
  <si>
    <t>In Progress</t>
  </si>
  <si>
    <t>ASM-2026-044</t>
  </si>
  <si>
    <t>Moab Hotel</t>
  </si>
  <si>
    <t>Moab, UT</t>
  </si>
  <si>
    <t>ASM-2026-045</t>
  </si>
  <si>
    <t>Trove Office Bldg</t>
  </si>
  <si>
    <t>GC: Stout</t>
  </si>
  <si>
    <t>ASM-2026-046</t>
  </si>
  <si>
    <t>IH St. George AHC</t>
  </si>
  <si>
    <t>Local Plumber</t>
  </si>
  <si>
    <t>ASM-2026-047</t>
  </si>
  <si>
    <t>Ford Land TI</t>
  </si>
  <si>
    <t>HITT</t>
  </si>
  <si>
    <t>Design-Build</t>
  </si>
  <si>
    <t>Harris Mechanical</t>
  </si>
  <si>
    <t>GC: HITT</t>
  </si>
  <si>
    <t>ASM-2026-048</t>
  </si>
  <si>
    <t>Dirks Field / Book Cliffs</t>
  </si>
  <si>
    <t>Awarded Feb 2026</t>
  </si>
  <si>
    <t>ASM-2026-049</t>
  </si>
  <si>
    <t>Amelia Apartments</t>
  </si>
  <si>
    <t>ASM-2026-050</t>
  </si>
  <si>
    <t>Brooklyn Yards</t>
  </si>
  <si>
    <t>ASM-2026-051</t>
  </si>
  <si>
    <t>Wasatch Rock</t>
  </si>
  <si>
    <t>ASM-2026-052</t>
  </si>
  <si>
    <t>Malakyte Apartments (Adams Ave)</t>
  </si>
  <si>
    <t>ASM-2026-053</t>
  </si>
  <si>
    <t>Ascend at Riverview</t>
  </si>
  <si>
    <t>ASM-2026-054</t>
  </si>
  <si>
    <t>Merced Creek Apartments</t>
  </si>
  <si>
    <t>Wasatch</t>
  </si>
  <si>
    <t>GC: Wasatch</t>
  </si>
  <si>
    <t>ASM-2026-055</t>
  </si>
  <si>
    <t>Euclid Apartments</t>
  </si>
  <si>
    <t>ASM-2026-056</t>
  </si>
  <si>
    <t>aQui 2194</t>
  </si>
  <si>
    <t>MINT</t>
  </si>
  <si>
    <t>GC: MINT</t>
  </si>
  <si>
    <t>ASM-2026-057</t>
  </si>
  <si>
    <t>Emeril Apartments</t>
  </si>
  <si>
    <t>Headwaters</t>
  </si>
  <si>
    <t>GC: Headwaters</t>
  </si>
  <si>
    <t>ASM-2026-058</t>
  </si>
  <si>
    <t>Northwest Pipeline</t>
  </si>
  <si>
    <t>ASM-2026-059</t>
  </si>
  <si>
    <t>Murray Block One</t>
  </si>
  <si>
    <t>Rimrock</t>
  </si>
  <si>
    <t>Murray, UT</t>
  </si>
  <si>
    <t>GCs: Rimrock / RVC — result TBD</t>
  </si>
  <si>
    <t>ASM-2026-060</t>
  </si>
  <si>
    <t>The Grove (Lupine Building)</t>
  </si>
  <si>
    <t>GCs: Bonneville / Big-D / Shaw</t>
  </si>
  <si>
    <t>ASM-2026-061</t>
  </si>
  <si>
    <t>Utopia Apartments</t>
  </si>
  <si>
    <t>ASM-2026-062</t>
  </si>
  <si>
    <t>300 West Apartments</t>
  </si>
  <si>
    <t>JN Beach</t>
  </si>
  <si>
    <t>GC: JN Beach — budget pricing</t>
  </si>
  <si>
    <t>ASM-2026-063</t>
  </si>
  <si>
    <t>Herriman Commons</t>
  </si>
  <si>
    <t>Herriman, UT</t>
  </si>
  <si>
    <t>GC: Kier</t>
  </si>
  <si>
    <t>ASM-2026-064</t>
  </si>
  <si>
    <t>Lofts North Salt Lake</t>
  </si>
  <si>
    <t>North Salt Lake, UT</t>
  </si>
  <si>
    <t>ASM-2026-065</t>
  </si>
  <si>
    <t>Lotus Forge Apartments</t>
  </si>
  <si>
    <t>GC: Lotus Built Group</t>
  </si>
  <si>
    <t>ASM-2026-066</t>
  </si>
  <si>
    <t>Provo Dual Brand Hotel</t>
  </si>
  <si>
    <t>ASM-2026-067</t>
  </si>
  <si>
    <t>Jefferson Apartments</t>
  </si>
  <si>
    <t>ASM-2026-068</t>
  </si>
  <si>
    <t>Granary Lofts Apartments</t>
  </si>
  <si>
    <t>ASM-2026-069</t>
  </si>
  <si>
    <t>Ameyalli Wellbeing</t>
  </si>
  <si>
    <t>ASM-2026-070</t>
  </si>
  <si>
    <t>Jordan Valley</t>
  </si>
  <si>
    <t>ASM-2026-071</t>
  </si>
  <si>
    <t>Holladay Parking</t>
  </si>
  <si>
    <t>Holladay, UT</t>
  </si>
  <si>
    <t>ASM-2026-072</t>
  </si>
  <si>
    <t>SLC Student Housing</t>
  </si>
  <si>
    <t>Shamrock Plumbing</t>
  </si>
  <si>
    <t>ASM-2026-073</t>
  </si>
  <si>
    <t>Lakeside Apartments</t>
  </si>
  <si>
    <t>Harris Mechanical &amp; Shamrock</t>
  </si>
  <si>
    <t>GC: Rimrock</t>
  </si>
  <si>
    <t>GC</t>
  </si>
  <si>
    <t>GC Relationship
(1-5)</t>
  </si>
  <si>
    <t>Project Fit
(1-5)</t>
  </si>
  <si>
    <t>Drawing Quality
(1-5)</t>
  </si>
  <si>
    <t>Schedule Risk
(1-5)</t>
  </si>
  <si>
    <t>Labor Available
(1-5)</t>
  </si>
  <si>
    <t>Margin Potential
(1-5)</t>
  </si>
  <si>
    <t>Strategic Value
(1-5)</t>
  </si>
  <si>
    <t>Competition
(1-5)</t>
  </si>
  <si>
    <t>Total Score
(/40)</t>
  </si>
  <si>
    <t>Score %</t>
  </si>
  <si>
    <t>Recommendation</t>
  </si>
  <si>
    <t>SCORING GUIDE →</t>
  </si>
  <si>
    <t>5 = Strong / partner GC</t>
  </si>
  <si>
    <t>5 = Ideal project type &amp; size</t>
  </si>
  <si>
    <t>5 = Complete clear drawings</t>
  </si>
  <si>
    <t>5 = Low risk flexible sched</t>
  </si>
  <si>
    <t>5 = Crew fully available</t>
  </si>
  <si>
    <t>5 = Strong margin opp.</t>
  </si>
  <si>
    <t>5 = High strategic importance</t>
  </si>
  <si>
    <t>5 = Low competition / sole-src</t>
  </si>
  <si>
    <t>SCORING KEY:  Each category scored 1–5.  Max = 40.  |  GO = 70%+ (≥28 pts)   |   REVIEW = 50–69% (20–27 pts)   |   NO-GO = below 50% (&lt;20 pts)</t>
  </si>
  <si>
    <t>Review each section with the team. Use the Bid Log AutoFilter to pull detailed lists for each item.</t>
  </si>
  <si>
    <t xml:space="preserve">  1.  BIDS DUE IN NEXT 14 DAYS</t>
  </si>
  <si>
    <t>Bids due in next 7 days (In Progress)</t>
  </si>
  <si>
    <t>Bids due in days 8–14 (In Progress)</t>
  </si>
  <si>
    <t>Total bid volume due in next 14 days</t>
  </si>
  <si>
    <t>▶  Filter Bid Log: Status = In Progress | Bid Due Date between today and today+14</t>
  </si>
  <si>
    <t xml:space="preserve">  2.  FOLLOW-UP STATUS</t>
  </si>
  <si>
    <t>Follow-ups OVERDUE</t>
  </si>
  <si>
    <t>Follow-ups due this week (3 days)</t>
  </si>
  <si>
    <t>Pending bids with NO follow-up date</t>
  </si>
  <si>
    <t>Pending bids older than 30 days</t>
  </si>
  <si>
    <t>Pending bids older than 60 days (URGENT)</t>
  </si>
  <si>
    <t>▶  Filter Bid Log: Follow-Up Status = OVERDUE  |  Sort: Next Follow-Up Date ascending</t>
  </si>
  <si>
    <t xml:space="preserve">  3.  EXPECTED AWARDS THIS MONTH</t>
  </si>
  <si>
    <t>Bids expecting award this month</t>
  </si>
  <si>
    <t>Expected award volume this month</t>
  </si>
  <si>
    <t>High-probability pending bids (≥70%)</t>
  </si>
  <si>
    <t>High-probability pending volume (≥70%)</t>
  </si>
  <si>
    <t>▶  Filter Bid Log: Status = Bid Submitted | Expected Award Date = this month | Sort: Probability descending</t>
  </si>
  <si>
    <t xml:space="preserve">  4.  GO / NO-GO ITEMS TO REVIEW</t>
  </si>
  <si>
    <t>Bids scored No-Go in Go-No-Go tab</t>
  </si>
  <si>
    <t>Bids scored Review (decision needed)</t>
  </si>
  <si>
    <t>Active bids with no Go/No-Go score</t>
  </si>
  <si>
    <t>▶  Go to Go-No-Go tab  |  Filter Bid Log: Go/No-Go Rec = No-Go or Review</t>
  </si>
  <si>
    <t xml:space="preserve">  5.  RECENT AWARDS &amp; LOSSES (LAST 30 DAYS)</t>
  </si>
  <si>
    <t>Jobs awarded in last 30 days (count)</t>
  </si>
  <si>
    <t>Jobs awarded in last 30 days (volume)</t>
  </si>
  <si>
    <t>Jobs lost in last 30 days (count)</t>
  </si>
  <si>
    <t>Jobs lost in last 30 days (volume)</t>
  </si>
  <si>
    <t>▶  Filter Bid Log: Status = Awarded or Lost | Last Contact Date &gt;= today-30</t>
  </si>
  <si>
    <t xml:space="preserve">  6.  ESTIMATOR WORKLOAD SNAPSHOT</t>
  </si>
  <si>
    <t>Estimator</t>
  </si>
  <si>
    <t>Due Next 14 Days</t>
  </si>
  <si>
    <t>ALERT: Any estimator with 3+ active bids AND 2+ due in the next 14 days is at capacity. Discuss workload rebalancing at this meeting.</t>
  </si>
  <si>
    <t>ASM — FOLLOW-UP CONTROL CENTER</t>
  </si>
  <si>
    <t>Use this tab to manage follow-up on pending bids. All data pulls from the Bid Log.</t>
  </si>
  <si>
    <t xml:space="preserve">  FOLLOW-UP SUMMARY</t>
  </si>
  <si>
    <t>Total pending bids (Bid/Budget/ROM Submitted + In Progress)</t>
  </si>
  <si>
    <t>Follow-ups DUE within 3 days</t>
  </si>
  <si>
    <t>Pending bids with NO follow-up owner</t>
  </si>
  <si>
    <t xml:space="preserve">  AGING — DAYS SINCE SUBMITTED OR RECEIVED</t>
  </si>
  <si>
    <t>Pending bids: 0–30 days old (count)</t>
  </si>
  <si>
    <t>Pending bids: 31–60 days old (ATTENTION)</t>
  </si>
  <si>
    <t>Pending bids: over 60 days old (URGENT)</t>
  </si>
  <si>
    <t>Pending volume: 0–30 days</t>
  </si>
  <si>
    <t>Pending volume: 31–60 days</t>
  </si>
  <si>
    <t>Pending volume: over 60 days</t>
  </si>
  <si>
    <t xml:space="preserve">  HIGH-VALUE PENDING BIDS</t>
  </si>
  <si>
    <t>Pending bids over $1,000,000 (count)</t>
  </si>
  <si>
    <t>Total pending volume over $1M</t>
  </si>
  <si>
    <t>Bids over $500K with no follow-up date</t>
  </si>
  <si>
    <t xml:space="preserve">  FOLLOW-UP BY OWNER</t>
  </si>
  <si>
    <t>Overdue</t>
  </si>
  <si>
    <t>Due Soon</t>
  </si>
  <si>
    <t>Missing Date</t>
  </si>
  <si>
    <t>Total Pending</t>
  </si>
  <si>
    <t>VP Preconstruction</t>
  </si>
  <si>
    <t>President</t>
  </si>
  <si>
    <t>ASM — DATA QUALITY REPORT</t>
  </si>
  <si>
    <t>Fix all flagged items before the Friday estimating meeting.  Filter Bid Log: Data Quality Flag ≠ OK.</t>
  </si>
  <si>
    <t xml:space="preserve">  REQUIRED FIELDS</t>
  </si>
  <si>
    <t>Check</t>
  </si>
  <si>
    <t>Count</t>
  </si>
  <si>
    <t>Bids missing Project Name</t>
  </si>
  <si>
    <t>Bids missing General Contractor</t>
  </si>
  <si>
    <t>Bids missing Plumb Estimator</t>
  </si>
  <si>
    <t>Bids missing Bid Due Date</t>
  </si>
  <si>
    <t>Bids missing Total Bid Amount</t>
  </si>
  <si>
    <t xml:space="preserve">  AWARDED BIDS</t>
  </si>
  <si>
    <t>Awarded bids with no Award Amount</t>
  </si>
  <si>
    <t xml:space="preserve">  LOST BIDS</t>
  </si>
  <si>
    <t>Lost bids with no Lost Reason</t>
  </si>
  <si>
    <t xml:space="preserve">  FOLLOW-UP COMPLETENESS</t>
  </si>
  <si>
    <t>Pending bids with no Follow-Up Date</t>
  </si>
  <si>
    <t>Pending bids with no Follow-Up Owner</t>
  </si>
  <si>
    <t>Follow-ups past due</t>
  </si>
  <si>
    <t xml:space="preserve">  BID DUE DATE ALERTS</t>
  </si>
  <si>
    <t>Active bids with Bid Due Date already passed</t>
  </si>
  <si>
    <t>Pending bids older than 60 days</t>
  </si>
  <si>
    <t xml:space="preserve">  OVERALL SUMMARY</t>
  </si>
  <si>
    <t>Total rows with ANY data quality issue</t>
  </si>
  <si>
    <t>ASM PRECONSTRUCTION PIPELINE TRACKER V9 — SETTINGS &amp; DROPDOWN LISTS</t>
  </si>
  <si>
    <t>WARNING: Do not delete, reorder, or rename items in this tab. These lists control all dropdown menus in the Bid Log.</t>
  </si>
  <si>
    <t>PLUMB ESTIMATORS</t>
  </si>
  <si>
    <t>BID STATUS</t>
  </si>
  <si>
    <t>MARKET SEGMENTS</t>
  </si>
  <si>
    <t>SCOPE TYPES</t>
  </si>
  <si>
    <t>BID STAGES</t>
  </si>
  <si>
    <t>DELIVERY METHODS</t>
  </si>
  <si>
    <t>LOST REASONS</t>
  </si>
  <si>
    <t>GO / NO-GO</t>
  </si>
  <si>
    <t>GENERAL CONTRACTORS</t>
  </si>
  <si>
    <t>FOLLOW-UP OWNERS</t>
  </si>
  <si>
    <t>HVAC ESTIMATORS</t>
  </si>
  <si>
    <t>ROM</t>
  </si>
  <si>
    <t>Go</t>
  </si>
  <si>
    <t>ROM Submitted</t>
  </si>
  <si>
    <t>GMP</t>
  </si>
  <si>
    <t>Review</t>
  </si>
  <si>
    <t>Budget Submitted</t>
  </si>
  <si>
    <t>DD</t>
  </si>
  <si>
    <t>No-Go</t>
  </si>
  <si>
    <t>Permit Set</t>
  </si>
  <si>
    <t>Service</t>
  </si>
  <si>
    <t>CM at Risk</t>
  </si>
  <si>
    <t>JOC</t>
  </si>
  <si>
    <t>On Hold</t>
  </si>
  <si>
    <t>ASM PRECONSTRUCTION PIPELINE TRACKER V9  —  INSTRUCTIONS &amp; SOP</t>
  </si>
  <si>
    <t xml:space="preserve">  WHO UPDATES THIS TRACKER</t>
  </si>
  <si>
    <t>Primary Owner</t>
  </si>
  <si>
    <t>The assigned estimator updates their own bids. The Preconstruction Manager or VP of Preconstruction reviews and spot-checks weekly.</t>
  </si>
  <si>
    <t>Backup / Admin</t>
  </si>
  <si>
    <t>If an estimator is unavailable, the Preconstruction Manager or office admin updates the tracker based on team notes.</t>
  </si>
  <si>
    <t xml:space="preserve">  WHEN TO UPDATE</t>
  </si>
  <si>
    <t>Bid received</t>
  </si>
  <si>
    <t>Add a new row immediately. Fill in: Project Name, GC, Location, Market Segment, Scope Type, Bid Stage, Estimator, Bid Received Date, Bid Due Date. Set Status = In Progress.</t>
  </si>
  <si>
    <t>Bid submitted</t>
  </si>
  <si>
    <t>Update: Submitted Date, ASM Bid Amount, Status = Bid Submitted. Set Next Follow-Up Date (5–7 business days out). Assign Follow-Up Owner.</t>
  </si>
  <si>
    <t>Following up</t>
  </si>
  <si>
    <t>Update: Last Contact Date, Notes (brief summary). Reset Next Follow-Up Date to next expected contact date.</t>
  </si>
  <si>
    <t>Job awarded</t>
  </si>
  <si>
    <t>Update: Status = Awarded, ASM Awarded Amount, Last Contact Date. Clear follow-up fields.</t>
  </si>
  <si>
    <t>Job lost</t>
  </si>
  <si>
    <t>Update: Status = Lost, Winning Competitor, Competitor Amount (if known), Lost Reason. Add note with any intel gathered.</t>
  </si>
  <si>
    <t>Before Friday mtg</t>
  </si>
  <si>
    <t>All estimators update their bids by Thursday EOD. Check Data Quality tab — all flags should read OK before the meeting.</t>
  </si>
  <si>
    <t xml:space="preserve">  STATUS DEFINITIONS</t>
  </si>
  <si>
    <t>Drawings received, takeoff and pricing underway. Bid not yet submitted.</t>
  </si>
  <si>
    <t>Rough Order of Magnitude pricing provided. Not a formal bid.</t>
  </si>
  <si>
    <t>Preliminary budget pricing submitted. Used in early design phases (SD/DD).</t>
  </si>
  <si>
    <t>Formal bid submitted. Awaiting decision. Follow-up required.</t>
  </si>
  <si>
    <t>ASM selected for the project. Contract or LOI received.</t>
  </si>
  <si>
    <t>GC or owner awarded work to a competitor. Fill in Winning Competitor, Amount, and Lost Reason.</t>
  </si>
  <si>
    <t>ASM chose not to bid. Note reason in Notes column.</t>
  </si>
  <si>
    <t>Project paused or decision delayed. Monitor for reactivation.</t>
  </si>
  <si>
    <t xml:space="preserve">  GO / NO-GO SCORING GUIDE</t>
  </si>
  <si>
    <t>Purpose</t>
  </si>
  <si>
    <t>Use the Go-No-Go tab to score each bid before submitting. This helps leadership decide whether ASM should invest estimating time on a project.</t>
  </si>
  <si>
    <t>How to score</t>
  </si>
  <si>
    <t>Score each of the 8 categories from 1 (very low) to 5 (very high). Total out of 40. Recommendation calculates automatically.</t>
  </si>
  <si>
    <t>Recommendations</t>
  </si>
  <si>
    <t>GO = 70%+ (score ≥28).  REVIEW = 50–69% (score 20–27) — bring to leadership.  NO-GO = below 50% (score &lt;20) — recommend passing unless strategic reason exists.</t>
  </si>
  <si>
    <t>Override policy</t>
  </si>
  <si>
    <t>Leadership can override No-Go to Go for strategic reasons. Document the reason in the Notes column of the Bid Log.</t>
  </si>
  <si>
    <t xml:space="preserve">  FRIDAY MEETING AGENDA GUIDE</t>
  </si>
  <si>
    <t>Thursday EOD prep</t>
  </si>
  <si>
    <t>1. Update all bid statuses.
2. Set next follow-up dates.
3. Check Data Quality tab — all rows should show OK.
4. Score new bids in the Go-No-Go tab.</t>
  </si>
  <si>
    <t>Review at meeting</t>
  </si>
  <si>
    <t>1. Dashboard — overall pipeline health.
2. Friday Meeting tab — bids due, follow-ups, expected awards.
3. Go-No-Go tab — No-Go or Review items.
4. Follow-Up Control — overdue or missing follow-ups.</t>
  </si>
  <si>
    <t>Key questions</t>
  </si>
  <si>
    <t>1. Are we bidding enough to feed operations?
2. Does any estimator need workload relief?
3. Which pending bids are most likely to convert this month?
4. Any stale bids (60+ days) to close out?
5. What did we learn from recent losses?</t>
  </si>
  <si>
    <t xml:space="preserve">  TIPS FOR KEEPING THE TRACKER CLEAN</t>
  </si>
  <si>
    <t>Use dropdowns</t>
  </si>
  <si>
    <t>Always select from the dropdown lists. Do not type statuses, segments, or names manually — this breaks filters and dashboard formulas.</t>
  </si>
  <si>
    <t>One row per bid</t>
  </si>
  <si>
    <t>Each bid gets one row. If a project re-bids, add a new row with a new Bid ID and note the relationship in Notes.</t>
  </si>
  <si>
    <t>Don't delete rows</t>
  </si>
  <si>
    <t>Lost and No Bid rows must stay — they are needed for win rate calculations and historical analysis.</t>
  </si>
  <si>
    <t>Probability guide</t>
  </si>
  <si>
    <t>0% = Lost/No Bid.  25% = Long shot.  50% = Competitive, no clear advantage.  75% = Strong position.  100% = Awarded.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</si>
</sst>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"/>
    <numFmt numFmtId="165" formatCode="0.0%"/>
  </numFmts>
  <fonts count="22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sz val="10"/>
      <color rgb="FF58595B"/>
      <name val="Arial"/>
    </font>
    <font>
      <b/>
      <sz val="9"/>
      <color rgb="FFFFFFFF"/>
      <name val="Arial"/>
    </font>
    <font>
      <b/>
      <sz val="18"/>
      <color rgb="FFFFFFFF"/>
      <name val="Arial"/>
    </font>
    <font>
      <b/>
      <sz val="22"/>
      <color rgb="FFFFFFFF"/>
      <name val="Arial"/>
    </font>
    <font>
      <b/>
      <sz val="26"/>
      <color rgb="FFFFFFFF"/>
      <name val="Arial"/>
    </font>
    <font>
      <b/>
      <sz val="11"/>
      <color rgb="FFFFFFFF"/>
      <name val="Arial"/>
    </font>
    <font>
      <sz val="9"/>
      <color rgb="FF231F20"/>
      <name val="Arial"/>
    </font>
    <font>
      <b/>
      <sz val="10"/>
      <color rgb="FFFFFFFF"/>
      <name val="Arial"/>
    </font>
    <font>
      <sz val="10"/>
      <color rgb="FF231F20"/>
      <name val="Arial"/>
    </font>
    <font>
      <b/>
      <sz val="8"/>
      <color rgb="FF58595B"/>
      <name val="Arial"/>
    </font>
    <font>
      <i/>
      <sz val="7"/>
      <color rgb="FF58595B"/>
      <name val="Arial"/>
    </font>
    <font>
      <b/>
      <sz val="10"/>
      <color rgb="FF231F20"/>
      <name val="Arial"/>
    </font>
    <font>
      <b/>
      <sz val="9"/>
      <color rgb="FF58595B"/>
      <name val="Arial"/>
    </font>
    <font>
      <i/>
      <sz val="10"/>
      <color rgb="FF58595B"/>
      <name val="Arial"/>
    </font>
    <font>
      <b/>
      <sz val="11"/>
      <color rgb="FF231F20"/>
      <name val="Arial"/>
    </font>
    <font>
      <i/>
      <sz val="9"/>
      <color rgb="FF58595B"/>
      <name val="Arial"/>
    </font>
    <font>
      <b/>
      <sz val="9"/>
      <color rgb="FFC55A11"/>
      <name val="Arial"/>
    </font>
    <font>
      <b/>
      <sz val="13"/>
      <color rgb="FFFFFFFF"/>
      <name val="Arial"/>
    </font>
    <font>
      <b/>
      <sz val="9"/>
      <color rgb="FF231F20"/>
      <name val="Arial"/>
    </font>
    <font>
      <b/>
      <sz val="10"/>
      <color rgb="FFC55A11"/>
      <name val="Arial"/>
    </font>
  </fonts>
  <fills count="15">
    <fill>
      <patternFill patternType="none"/>
    </fill>
    <fill>
      <patternFill patternType="gray125"/>
    </fill>
    <fill>
      <patternFill patternType="solid">
        <fgColor rgb="FF003B4C"/>
      </patternFill>
    </fill>
    <fill>
      <patternFill patternType="solid">
        <fgColor rgb="FF375623"/>
      </patternFill>
    </fill>
    <fill>
      <patternFill patternType="solid">
        <fgColor rgb="FFD03238"/>
      </patternFill>
    </fill>
    <fill>
      <patternFill patternType="solid">
        <fgColor rgb="FF2E75B6"/>
      </patternFill>
    </fill>
    <fill>
      <patternFill patternType="solid">
        <fgColor rgb="FFC55A11"/>
      </patternFill>
    </fill>
    <fill>
      <patternFill patternType="solid">
        <fgColor rgb="FF4B0082"/>
      </patternFill>
    </fill>
    <fill>
      <patternFill patternType="solid">
        <fgColor rgb="FFF2F2F2"/>
      </patternFill>
    </fill>
    <fill>
      <patternFill patternType="solid">
        <fgColor rgb="FFFFFFFF"/>
      </patternFill>
    </fill>
    <fill>
      <patternFill patternType="solid">
        <fgColor rgb="FFFFF2CC"/>
      </patternFill>
    </fill>
    <fill>
      <patternFill patternType="solid">
        <fgColor rgb="FFFFFFFA"/>
      </patternFill>
    </fill>
    <fill>
      <patternFill patternType="solid">
        <fgColor rgb="FFFCE4D6"/>
      </patternFill>
    </fill>
    <fill>
      <patternFill patternType="solid">
        <fgColor rgb="FF7F6000"/>
      </patternFill>
    </fill>
    <fill>
      <patternFill patternType="solid">
        <fgColor rgb="FF58595B"/>
      </patternFill>
    </fill>
  </fills>
  <borders count="6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3" fillId="5" borderId="1" xfId="0" applyFont="1" applyFill="1" applyBorder="1" applyAlignment="1">
      <alignment horizontal="center" wrapText="1"/>
    </xf>
    <xf numFmtId="0" fontId="8" fillId="8" borderId="1" xfId="0" applyFont="1" applyFill="1" applyBorder="1" applyAlignment="1">
      <alignment horizontal="left"/>
    </xf>
    <xf numFmtId="1" fontId="8" fillId="8" borderId="1" xfId="0" applyNumberFormat="1" applyFont="1" applyFill="1" applyBorder="1" applyAlignment="1">
      <alignment horizontal="center"/>
    </xf>
    <xf numFmtId="164" fontId="8" fillId="8" borderId="1" xfId="0" applyNumberFormat="1" applyFont="1" applyFill="1" applyBorder="1" applyAlignment="1">
      <alignment horizontal="center"/>
    </xf>
    <xf numFmtId="9" fontId="8" fillId="8" borderId="1" xfId="0" applyNumberFormat="1" applyFont="1" applyFill="1" applyBorder="1" applyAlignment="1">
      <alignment horizontal="center"/>
    </xf>
    <xf numFmtId="0" fontId="8" fillId="9" borderId="1" xfId="0" applyFont="1" applyFill="1" applyBorder="1" applyAlignment="1">
      <alignment horizontal="left"/>
    </xf>
    <xf numFmtId="1" fontId="8" fillId="9" borderId="1" xfId="0" applyNumberFormat="1" applyFont="1" applyFill="1" applyBorder="1" applyAlignment="1">
      <alignment horizontal="center"/>
    </xf>
    <xf numFmtId="164" fontId="8" fillId="9" borderId="1" xfId="0" applyNumberFormat="1" applyFont="1" applyFill="1" applyBorder="1" applyAlignment="1">
      <alignment horizontal="center"/>
    </xf>
    <xf numFmtId="9" fontId="8" fillId="9" borderId="1" xfId="0" applyNumberFormat="1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 wrapText="1"/>
    </xf>
    <xf numFmtId="0" fontId="10" fillId="8" borderId="1" xfId="0" applyFont="1" applyFill="1" applyBorder="1" applyAlignment="1">
      <alignment horizontal="left"/>
    </xf>
    <xf numFmtId="14" fontId="10" fillId="8" borderId="1" xfId="0" applyNumberFormat="1" applyFont="1" applyFill="1" applyBorder="1" applyAlignment="1">
      <alignment horizontal="left"/>
    </xf>
    <xf numFmtId="164" fontId="10" fillId="8" borderId="1" xfId="0" applyNumberFormat="1" applyFont="1" applyFill="1" applyBorder="1" applyAlignment="1">
      <alignment horizontal="left"/>
    </xf>
    <xf numFmtId="164" fontId="10" fillId="8" borderId="1" xfId="0" applyNumberFormat="1" applyFont="1" applyFill="1" applyBorder="1" applyAlignment="1">
      <alignment horizontal="right"/>
    </xf>
    <xf numFmtId="9" fontId="10" fillId="8" borderId="1" xfId="0" applyNumberFormat="1" applyFont="1" applyFill="1" applyBorder="1" applyAlignment="1">
      <alignment horizontal="left"/>
    </xf>
    <xf numFmtId="0" fontId="10" fillId="8" borderId="1" xfId="0" applyFont="1" applyFill="1" applyBorder="1" applyAlignment="1">
      <alignment horizontal="left" wrapText="1"/>
    </xf>
    <xf numFmtId="1" fontId="2" fillId="8" borderId="1" xfId="0" applyNumberFormat="1" applyFont="1" applyFill="1" applyBorder="1" applyAlignment="1">
      <alignment horizontal="center"/>
    </xf>
    <xf numFmtId="0" fontId="2" fillId="8" borderId="1" xfId="0" applyFont="1" applyFill="1" applyBorder="1" applyAlignment="1">
      <alignment horizontal="center"/>
    </xf>
    <xf numFmtId="1" fontId="10" fillId="8" borderId="1" xfId="0" applyNumberFormat="1" applyFont="1" applyFill="1" applyBorder="1" applyAlignment="1">
      <alignment horizontal="center"/>
    </xf>
    <xf numFmtId="0" fontId="10" fillId="8" borderId="1" xfId="0" applyFont="1" applyFill="1" applyBorder="1" applyAlignment="1">
      <alignment horizontal="center"/>
    </xf>
    <xf numFmtId="0" fontId="8" fillId="8" borderId="1" xfId="0" applyFont="1" applyFill="1" applyBorder="1" applyAlignment="1">
      <alignment horizontal="left" wrapText="1"/>
    </xf>
    <xf numFmtId="0" fontId="10" fillId="9" borderId="1" xfId="0" applyFont="1" applyFill="1" applyBorder="1" applyAlignment="1">
      <alignment horizontal="left"/>
    </xf>
    <xf numFmtId="14" fontId="10" fillId="9" borderId="1" xfId="0" applyNumberFormat="1" applyFont="1" applyFill="1" applyBorder="1" applyAlignment="1">
      <alignment horizontal="left"/>
    </xf>
    <xf numFmtId="164" fontId="10" fillId="9" borderId="1" xfId="0" applyNumberFormat="1" applyFont="1" applyFill="1" applyBorder="1" applyAlignment="1">
      <alignment horizontal="left"/>
    </xf>
    <xf numFmtId="164" fontId="10" fillId="9" borderId="1" xfId="0" applyNumberFormat="1" applyFont="1" applyFill="1" applyBorder="1" applyAlignment="1">
      <alignment horizontal="right"/>
    </xf>
    <xf numFmtId="9" fontId="10" fillId="9" borderId="1" xfId="0" applyNumberFormat="1" applyFont="1" applyFill="1" applyBorder="1" applyAlignment="1">
      <alignment horizontal="left"/>
    </xf>
    <xf numFmtId="0" fontId="10" fillId="9" borderId="1" xfId="0" applyFont="1" applyFill="1" applyBorder="1" applyAlignment="1">
      <alignment horizontal="left" wrapText="1"/>
    </xf>
    <xf numFmtId="1" fontId="2" fillId="9" borderId="1" xfId="0" applyNumberFormat="1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1" fontId="10" fillId="9" borderId="1" xfId="0" applyNumberFormat="1" applyFont="1" applyFill="1" applyBorder="1" applyAlignment="1">
      <alignment horizontal="center"/>
    </xf>
    <xf numFmtId="0" fontId="10" fillId="9" borderId="1" xfId="0" applyFont="1" applyFill="1" applyBorder="1" applyAlignment="1">
      <alignment horizontal="center"/>
    </xf>
    <xf numFmtId="0" fontId="8" fillId="9" borderId="1" xfId="0" applyFont="1" applyFill="1" applyBorder="1" applyAlignment="1">
      <alignment horizontal="left" wrapText="1"/>
    </xf>
    <xf numFmtId="0" fontId="3" fillId="2" borderId="1" xfId="0" applyFont="1" applyFill="1" applyBorder="1" applyAlignment="1">
      <alignment horizontal="center" wrapText="1"/>
    </xf>
    <xf numFmtId="0" fontId="12" fillId="10" borderId="0" xfId="0" applyFont="1" applyFill="1" applyAlignment="1">
      <alignment horizontal="center" wrapText="1"/>
    </xf>
    <xf numFmtId="1" fontId="13" fillId="9" borderId="1" xfId="0" applyNumberFormat="1" applyFont="1" applyFill="1" applyBorder="1" applyAlignment="1">
      <alignment horizontal="center"/>
    </xf>
    <xf numFmtId="9" fontId="13" fillId="9" borderId="1" xfId="0" applyNumberFormat="1" applyFont="1" applyFill="1" applyBorder="1" applyAlignment="1">
      <alignment horizontal="center"/>
    </xf>
    <xf numFmtId="0" fontId="13" fillId="9" borderId="1" xfId="0" applyFont="1" applyFill="1" applyBorder="1" applyAlignment="1">
      <alignment horizontal="center"/>
    </xf>
    <xf numFmtId="1" fontId="13" fillId="8" borderId="1" xfId="0" applyNumberFormat="1" applyFont="1" applyFill="1" applyBorder="1" applyAlignment="1">
      <alignment horizontal="center"/>
    </xf>
    <xf numFmtId="9" fontId="13" fillId="8" borderId="1" xfId="0" applyNumberFormat="1" applyFont="1" applyFill="1" applyBorder="1" applyAlignment="1">
      <alignment horizontal="center"/>
    </xf>
    <xf numFmtId="0" fontId="13" fillId="8" borderId="1" xfId="0" applyFont="1" applyFill="1" applyBorder="1" applyAlignment="1">
      <alignment horizontal="center"/>
    </xf>
    <xf numFmtId="1" fontId="16" fillId="9" borderId="1" xfId="0" applyNumberFormat="1" applyFont="1" applyFill="1" applyBorder="1" applyAlignment="1">
      <alignment horizontal="center"/>
    </xf>
    <xf numFmtId="164" fontId="16" fillId="9" borderId="1" xfId="0" applyNumberFormat="1" applyFont="1" applyFill="1" applyBorder="1" applyAlignment="1">
      <alignment horizontal="center"/>
    </xf>
    <xf numFmtId="0" fontId="8" fillId="8" borderId="1" xfId="0" applyFont="1" applyFill="1" applyBorder="1" applyAlignment="1">
      <alignment horizontal="center"/>
    </xf>
    <xf numFmtId="0" fontId="8" fillId="9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 wrapText="1"/>
    </xf>
    <xf numFmtId="1" fontId="16" fillId="8" borderId="1" xfId="0" applyNumberFormat="1" applyFont="1" applyFill="1" applyBorder="1" applyAlignment="1">
      <alignment horizontal="center"/>
    </xf>
    <xf numFmtId="0" fontId="20" fillId="8" borderId="1" xfId="0" applyFont="1" applyFill="1" applyBorder="1" applyAlignment="1">
      <alignment horizontal="center"/>
    </xf>
    <xf numFmtId="0" fontId="20" fillId="9" borderId="1" xfId="0" applyFont="1" applyFill="1" applyBorder="1" applyAlignment="1">
      <alignment horizontal="center"/>
    </xf>
    <xf numFmtId="0" fontId="13" fillId="8" borderId="1" xfId="0" applyFont="1" applyFill="1" applyBorder="1" applyAlignment="1">
      <alignment horizontal="left" vertical="top" wrapText="1"/>
    </xf>
    <xf numFmtId="0" fontId="10" fillId="8" borderId="1" xfId="0" applyFont="1" applyFill="1" applyBorder="1" applyAlignment="1">
      <alignment horizontal="left" vertical="top" wrapText="1"/>
    </xf>
    <xf numFmtId="0" fontId="13" fillId="9" borderId="1" xfId="0" applyFont="1" applyFill="1" applyBorder="1" applyAlignment="1">
      <alignment horizontal="left" vertical="top" wrapText="1"/>
    </xf>
    <xf numFmtId="0" fontId="10" fillId="9" borderId="1" xfId="0" applyFont="1" applyFill="1" applyBorder="1" applyAlignment="1">
      <alignment horizontal="left" vertical="top" wrapText="1"/>
    </xf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 wrapText="1"/>
    </xf>
    <xf numFmtId="0" fontId="3" fillId="3" borderId="0" xfId="0" applyFont="1" applyFill="1" applyAlignment="1">
      <alignment horizontal="center" wrapText="1"/>
    </xf>
    <xf numFmtId="0" fontId="3" fillId="4" borderId="0" xfId="0" applyFont="1" applyFill="1" applyAlignment="1">
      <alignment horizontal="center" wrapText="1"/>
    </xf>
    <xf numFmtId="0" fontId="3" fillId="5" borderId="0" xfId="0" applyFont="1" applyFill="1" applyAlignment="1">
      <alignment horizontal="center" wrapText="1"/>
    </xf>
    <xf numFmtId="164" fontId="4" fillId="2" borderId="0" xfId="0" applyNumberFormat="1" applyFont="1" applyFill="1" applyAlignment="1">
      <alignment horizontal="center"/>
    </xf>
    <xf numFmtId="164" fontId="4" fillId="3" borderId="0" xfId="0" applyNumberFormat="1" applyFont="1" applyFill="1" applyAlignment="1">
      <alignment horizontal="center"/>
    </xf>
    <xf numFmtId="164" fontId="4" fillId="4" borderId="0" xfId="0" applyNumberFormat="1" applyFont="1" applyFill="1" applyAlignment="1">
      <alignment horizontal="center"/>
    </xf>
    <xf numFmtId="164" fontId="4" fillId="5" borderId="0" xfId="0" applyNumberFormat="1" applyFont="1" applyFill="1" applyAlignment="1">
      <alignment horizontal="center"/>
    </xf>
    <xf numFmtId="165" fontId="5" fillId="2" borderId="0" xfId="0" applyNumberFormat="1" applyFont="1" applyFill="1" applyAlignment="1">
      <alignment horizontal="center"/>
    </xf>
    <xf numFmtId="0" fontId="3" fillId="6" borderId="0" xfId="0" applyFont="1" applyFill="1" applyAlignment="1">
      <alignment horizontal="center" wrapText="1"/>
    </xf>
    <xf numFmtId="0" fontId="3" fillId="7" borderId="0" xfId="0" applyFont="1" applyFill="1" applyAlignment="1">
      <alignment horizontal="center" wrapText="1"/>
    </xf>
    <xf numFmtId="1" fontId="6" fillId="6" borderId="0" xfId="0" applyNumberFormat="1" applyFont="1" applyFill="1" applyAlignment="1">
      <alignment horizontal="center"/>
    </xf>
    <xf numFmtId="1" fontId="6" fillId="4" borderId="0" xfId="0" applyNumberFormat="1" applyFont="1" applyFill="1" applyAlignment="1">
      <alignment horizontal="center"/>
    </xf>
    <xf numFmtId="1" fontId="6" fillId="7" borderId="0" xfId="0" applyNumberFormat="1" applyFont="1" applyFill="1" applyAlignment="1">
      <alignment horizontal="center"/>
    </xf>
    <xf numFmtId="0" fontId="7" fillId="2" borderId="1" xfId="0" applyFont="1" applyFill="1" applyBorder="1" applyAlignment="1">
      <alignment horizontal="left"/>
    </xf>
    <xf numFmtId="0" fontId="3" fillId="5" borderId="1" xfId="0" applyFont="1" applyFill="1" applyBorder="1" applyAlignment="1">
      <alignment horizontal="center" wrapText="1"/>
    </xf>
    <xf numFmtId="0" fontId="8" fillId="8" borderId="1" xfId="0" applyFont="1" applyFill="1" applyBorder="1" applyAlignment="1">
      <alignment horizontal="left"/>
    </xf>
    <xf numFmtId="164" fontId="8" fillId="8" borderId="1" xfId="0" applyNumberFormat="1" applyFont="1" applyFill="1" applyBorder="1" applyAlignment="1">
      <alignment horizontal="center"/>
    </xf>
    <xf numFmtId="0" fontId="8" fillId="9" borderId="1" xfId="0" applyFont="1" applyFill="1" applyBorder="1" applyAlignment="1">
      <alignment horizontal="left"/>
    </xf>
    <xf numFmtId="164" fontId="8" fillId="9" borderId="1" xfId="0" applyNumberFormat="1" applyFont="1" applyFill="1" applyBorder="1" applyAlignment="1">
      <alignment horizontal="center"/>
    </xf>
    <xf numFmtId="1" fontId="8" fillId="8" borderId="1" xfId="0" applyNumberFormat="1" applyFont="1" applyFill="1" applyBorder="1" applyAlignment="1">
      <alignment horizontal="center"/>
    </xf>
    <xf numFmtId="1" fontId="8" fillId="9" borderId="1" xfId="0" applyNumberFormat="1" applyFont="1" applyFill="1" applyBorder="1" applyAlignment="1">
      <alignment horizontal="center"/>
    </xf>
    <xf numFmtId="0" fontId="11" fillId="10" borderId="0" xfId="0" applyFont="1" applyFill="1" applyAlignment="1">
      <alignment horizontal="center"/>
    </xf>
    <xf numFmtId="0" fontId="14" fillId="10" borderId="0" xfId="0" applyFont="1" applyFill="1" applyAlignment="1">
      <alignment horizontal="left"/>
    </xf>
    <xf numFmtId="0" fontId="15" fillId="0" borderId="0" xfId="0" applyFont="1" applyAlignment="1">
      <alignment horizontal="left"/>
    </xf>
    <xf numFmtId="0" fontId="7" fillId="5" borderId="1" xfId="0" applyFont="1" applyFill="1" applyBorder="1" applyAlignment="1">
      <alignment horizontal="left"/>
    </xf>
    <xf numFmtId="0" fontId="10" fillId="8" borderId="1" xfId="0" applyFont="1" applyFill="1" applyBorder="1" applyAlignment="1">
      <alignment horizontal="left"/>
    </xf>
    <xf numFmtId="0" fontId="17" fillId="11" borderId="0" xfId="0" applyFont="1" applyFill="1" applyAlignment="1">
      <alignment horizontal="left"/>
    </xf>
    <xf numFmtId="0" fontId="7" fillId="4" borderId="1" xfId="0" applyFont="1" applyFill="1" applyBorder="1" applyAlignment="1">
      <alignment horizontal="left"/>
    </xf>
    <xf numFmtId="0" fontId="7" fillId="3" borderId="1" xfId="0" applyFont="1" applyFill="1" applyBorder="1" applyAlignment="1">
      <alignment horizontal="left"/>
    </xf>
    <xf numFmtId="0" fontId="7" fillId="6" borderId="1" xfId="0" applyFont="1" applyFill="1" applyBorder="1" applyAlignment="1">
      <alignment horizontal="left"/>
    </xf>
    <xf numFmtId="0" fontId="18" fillId="12" borderId="0" xfId="0" applyFont="1" applyFill="1" applyAlignment="1">
      <alignment horizontal="left" wrapText="1"/>
    </xf>
    <xf numFmtId="0" fontId="1" fillId="4" borderId="0" xfId="0" applyFont="1" applyFill="1" applyAlignment="1">
      <alignment horizontal="center"/>
    </xf>
    <xf numFmtId="0" fontId="10" fillId="8" borderId="1" xfId="0" applyFont="1" applyFill="1" applyBorder="1" applyAlignment="1">
      <alignment horizontal="left" wrapText="1"/>
    </xf>
    <xf numFmtId="0" fontId="19" fillId="13" borderId="0" xfId="0" applyFont="1" applyFill="1" applyAlignment="1">
      <alignment horizontal="center"/>
    </xf>
    <xf numFmtId="0" fontId="7" fillId="14" borderId="1" xfId="0" applyFont="1" applyFill="1" applyBorder="1" applyAlignment="1">
      <alignment horizontal="left"/>
    </xf>
    <xf numFmtId="0" fontId="21" fillId="10" borderId="0" xfId="0" applyFont="1" applyFill="1" applyAlignment="1">
      <alignment horizontal="left"/>
    </xf>
    <xf numFmtId="0" fontId="19" fillId="2" borderId="0" xfId="0" applyFont="1" applyFill="1" applyAlignment="1">
      <alignment horizontal="center"/>
    </xf>
    <xf numFmtId="0" fontId="3" fillId="5" borderId="2" xfId="0" applyFont="1" applyFill="1" applyBorder="1" applyAlignment="1">
      <alignment horizontal="center" wrapText="1"/>
    </xf>
    <xf numFmtId="0" fontId="7" fillId="2" borderId="3" xfId="0" applyFont="1" applyFill="1" applyBorder="1" applyAlignment="1">
      <alignment horizontal="left"/>
    </xf>
    <xf numFmtId="0" fontId="3" fillId="5" borderId="4" xfId="0" applyFont="1" applyFill="1" applyBorder="1" applyAlignment="1">
      <alignment horizontal="center" wrapText="1"/>
    </xf>
    <xf numFmtId="0" fontId="3" fillId="5" borderId="5" xfId="0" applyFont="1" applyFill="1" applyBorder="1" applyAlignment="1">
      <alignment horizontal="center" wrapText="1"/>
    </xf>
    <xf numFmtId="1" fontId="8" fillId="8" borderId="2" xfId="0" applyNumberFormat="1" applyFont="1" applyFill="1" applyBorder="1" applyAlignment="1">
      <alignment horizontal="center"/>
    </xf>
    <xf numFmtId="9" fontId="8" fillId="8" borderId="4" xfId="0" applyNumberFormat="1" applyFont="1" applyFill="1" applyBorder="1" applyAlignment="1">
      <alignment horizontal="center"/>
    </xf>
    <xf numFmtId="9" fontId="8" fillId="8" borderId="5" xfId="0" applyNumberFormat="1" applyFont="1" applyFill="1" applyBorder="1" applyAlignment="1">
      <alignment horizontal="center"/>
    </xf>
    <xf numFmtId="1" fontId="8" fillId="9" borderId="2" xfId="0" applyNumberFormat="1" applyFont="1" applyFill="1" applyBorder="1" applyAlignment="1">
      <alignment horizontal="center"/>
    </xf>
    <xf numFmtId="9" fontId="8" fillId="9" borderId="4" xfId="0" applyNumberFormat="1" applyFont="1" applyFill="1" applyBorder="1" applyAlignment="1">
      <alignment horizontal="center"/>
    </xf>
    <xf numFmtId="9" fontId="8" fillId="9" borderId="5" xfId="0" applyNumberFormat="1" applyFont="1" applyFill="1" applyBorder="1" applyAlignment="1">
      <alignment horizontal="center"/>
    </xf>
  </cellXfs>
  <cellStyles count="1">
    <cellStyle name="Normal" xfId="0" builtinId="0"/>
  </cellStyles>
  <dxfs count="30">
    <dxf>
      <font>
        <b/>
        <color rgb="FFD03238"/>
      </font>
      <fill>
        <patternFill patternType="solid">
          <fgColor rgb="FFFFE0E0"/>
        </patternFill>
      </fill>
    </dxf>
    <dxf>
      <font>
        <b/>
        <color rgb="FF375623"/>
      </font>
      <fill>
        <patternFill patternType="solid">
          <fgColor rgb="FFE2EFDA"/>
        </patternFill>
      </fill>
    </dxf>
    <dxf>
      <font>
        <b/>
        <color rgb="FFD03238"/>
      </font>
      <fill>
        <patternFill patternType="solid">
          <fgColor rgb="FFFFE0E0"/>
        </patternFill>
      </fill>
    </dxf>
    <dxf>
      <font>
        <b/>
        <color rgb="FF375623"/>
      </font>
      <fill>
        <patternFill patternType="solid">
          <fgColor rgb="FFE2EFDA"/>
        </patternFill>
      </fill>
    </dxf>
    <dxf>
      <font>
        <b/>
        <color rgb="FFD03238"/>
      </font>
      <fill>
        <patternFill patternType="solid">
          <fgColor rgb="FFFFE0E0"/>
        </patternFill>
      </fill>
    </dxf>
    <dxf>
      <font>
        <b/>
        <color rgb="FF375623"/>
      </font>
      <fill>
        <patternFill patternType="solid">
          <fgColor rgb="FFE2EFDA"/>
        </patternFill>
      </fill>
    </dxf>
    <dxf>
      <font>
        <b/>
        <color rgb="FFD03238"/>
      </font>
      <fill>
        <patternFill patternType="solid">
          <fgColor rgb="FFFFE0E0"/>
        </patternFill>
      </fill>
    </dxf>
    <dxf>
      <font>
        <b/>
        <color rgb="FF375623"/>
      </font>
      <fill>
        <patternFill patternType="solid">
          <fgColor rgb="FFE2EFDA"/>
        </patternFill>
      </fill>
    </dxf>
    <dxf>
      <font>
        <b/>
        <color rgb="FFD03238"/>
      </font>
      <fill>
        <patternFill patternType="solid">
          <fgColor rgb="FFFFE0E0"/>
        </patternFill>
      </fill>
    </dxf>
    <dxf>
      <font>
        <b/>
        <color rgb="FF375623"/>
      </font>
      <fill>
        <patternFill patternType="solid">
          <fgColor rgb="FFE2EFDA"/>
        </patternFill>
      </fill>
    </dxf>
    <dxf>
      <font>
        <b/>
        <color rgb="FFD03238"/>
      </font>
      <fill>
        <patternFill patternType="solid">
          <fgColor rgb="FFFFE0E0"/>
        </patternFill>
      </fill>
    </dxf>
    <dxf>
      <font>
        <b/>
        <color rgb="FF375623"/>
      </font>
      <fill>
        <patternFill patternType="solid">
          <fgColor rgb="FFE2EFDA"/>
        </patternFill>
      </fill>
    </dxf>
    <dxf>
      <font>
        <b/>
        <color rgb="FF7F6000"/>
      </font>
      <fill>
        <patternFill patternType="solid">
          <fgColor rgb="FFFFEB9C"/>
        </patternFill>
      </fill>
    </dxf>
    <dxf>
      <font>
        <b/>
        <color rgb="FFD03238"/>
      </font>
      <fill>
        <patternFill patternType="solid">
          <fgColor rgb="FFFFE0E0"/>
        </patternFill>
      </fill>
    </dxf>
    <dxf>
      <font>
        <b/>
        <color rgb="FF375623"/>
      </font>
      <fill>
        <patternFill patternType="solid">
          <fgColor rgb="FFE2EFDA"/>
        </patternFill>
      </fill>
    </dxf>
    <dxf>
      <fill>
        <patternFill patternType="solid">
          <fgColor rgb="FFFFE0E0"/>
        </patternFill>
      </fill>
    </dxf>
    <dxf>
      <fill>
        <patternFill patternType="solid">
          <fgColor rgb="FFE2EFDA"/>
        </patternFill>
      </fill>
    </dxf>
    <dxf>
      <fill>
        <patternFill patternType="solid">
          <fgColor rgb="FFD0F0D0"/>
        </patternFill>
      </fill>
    </dxf>
    <dxf>
      <fill>
        <patternFill patternType="solid">
          <fgColor rgb="FFFFD0D0"/>
        </patternFill>
      </fill>
    </dxf>
    <dxf>
      <font>
        <color rgb="FFD03238"/>
      </font>
      <fill>
        <patternFill patternType="solid">
          <fgColor rgb="FFFFE0E0"/>
        </patternFill>
      </fill>
    </dxf>
    <dxf>
      <font>
        <b/>
        <color rgb="FF4B0082"/>
      </font>
      <fill>
        <patternFill patternType="solid">
          <fgColor rgb="FFEAD5F5"/>
        </patternFill>
      </fill>
    </dxf>
    <dxf>
      <font>
        <b/>
        <color rgb="FF7F6000"/>
      </font>
      <fill>
        <patternFill patternType="solid">
          <fgColor rgb="FFFFEB9C"/>
        </patternFill>
      </fill>
    </dxf>
    <dxf>
      <font>
        <b/>
        <color rgb="FF7F3300"/>
      </font>
      <fill>
        <patternFill patternType="solid">
          <fgColor rgb="FFFFCC66"/>
        </patternFill>
      </fill>
    </dxf>
    <dxf>
      <font>
        <b/>
        <color rgb="FF7F6000"/>
      </font>
      <fill>
        <patternFill patternType="solid">
          <fgColor rgb="FFFFEB9C"/>
        </patternFill>
      </fill>
    </dxf>
    <dxf>
      <font>
        <b/>
        <color rgb="FFD03238"/>
      </font>
      <fill>
        <patternFill patternType="solid">
          <fgColor rgb="FFFFE0E0"/>
        </patternFill>
      </fill>
    </dxf>
    <dxf>
      <font>
        <b/>
        <color rgb="FF7F6000"/>
      </font>
      <fill>
        <patternFill patternType="solid">
          <fgColor rgb="FFFFEB9C"/>
        </patternFill>
      </fill>
    </dxf>
    <dxf>
      <font>
        <b/>
        <color rgb="FFD03238"/>
      </font>
      <fill>
        <patternFill patternType="solid">
          <fgColor rgb="FFFFE0E0"/>
        </patternFill>
      </fill>
    </dxf>
    <dxf>
      <font>
        <b/>
        <color rgb="FF375623"/>
      </font>
      <fill>
        <patternFill patternType="solid">
          <fgColor rgb="FFE2EFDA"/>
        </patternFill>
      </fill>
    </dxf>
    <dxf>
      <font>
        <color rgb="FFD03238"/>
      </font>
      <fill>
        <patternFill patternType="solid">
          <fgColor rgb="FFFFE0E0"/>
        </patternFill>
      </fill>
    </dxf>
    <dxf>
      <font>
        <color rgb="FF375623"/>
      </font>
      <fill>
        <patternFill patternType="solid">
          <fgColor rgb="FFE2EFDA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375623"/>
  </sheetPr>
  <dimension ref="B1:L45"/>
  <sheetViews>
    <sheetView showGridLines="0" topLeftCell="A14" workbookViewId="0">
      <selection activeCell="H40" sqref="H40:L40"/>
    </sheetView>
  </sheetViews>
  <sheetFormatPr defaultRowHeight="15" x14ac:dyDescent="0.25"/>
  <cols>
    <col min="1" max="1" width="2" customWidth="1"/>
    <col min="2" max="12" width="14" customWidth="1"/>
    <col min="13" max="13" width="2" customWidth="1"/>
  </cols>
  <sheetData>
    <row r="1" spans="2:12" ht="32.1" customHeight="1" x14ac:dyDescent="0.25">
      <c r="B1" s="53" t="s">
        <v>0</v>
      </c>
      <c r="C1" s="53"/>
      <c r="D1" s="53"/>
      <c r="E1" s="53"/>
      <c r="F1" s="53"/>
      <c r="G1" s="53"/>
      <c r="H1" s="53"/>
      <c r="I1" s="53"/>
      <c r="J1" s="53"/>
      <c r="K1" s="53"/>
      <c r="L1" s="53"/>
    </row>
    <row r="2" spans="2:12" ht="20.100000000000001" customHeight="1" x14ac:dyDescent="0.25">
      <c r="B2" s="54" t="str">
        <f ca="1">"All States Mechanical  |  Data as of: "&amp;TEXT(TODAY(),"mmmm d, yyyy")</f>
        <v>All States Mechanical  |  Data as of: May 13, 2026</v>
      </c>
      <c r="C2" s="54"/>
      <c r="D2" s="54"/>
      <c r="E2" s="54"/>
      <c r="F2" s="54"/>
      <c r="G2" s="54"/>
      <c r="H2" s="54"/>
      <c r="I2" s="54"/>
      <c r="J2" s="54"/>
      <c r="K2" s="54"/>
      <c r="L2" s="54"/>
    </row>
    <row r="3" spans="2:12" ht="18" customHeight="1" x14ac:dyDescent="0.25">
      <c r="B3" s="55" t="s">
        <v>1</v>
      </c>
      <c r="C3" s="55"/>
      <c r="D3" s="56" t="s">
        <v>2</v>
      </c>
      <c r="E3" s="56"/>
      <c r="F3" s="57" t="s">
        <v>3</v>
      </c>
      <c r="G3" s="57"/>
      <c r="H3" s="58" t="s">
        <v>4</v>
      </c>
      <c r="I3" s="58"/>
      <c r="J3" s="55" t="s">
        <v>5</v>
      </c>
      <c r="K3" s="55"/>
      <c r="L3" s="55"/>
    </row>
    <row r="4" spans="2:12" ht="36" customHeight="1" x14ac:dyDescent="0.4">
      <c r="B4" s="59">
        <f>IFERROR(SUMIF('Bid Log'!Q:Q,"&lt;&gt;No Bid",'Bid Log'!P:P),0)</f>
        <v>240963687</v>
      </c>
      <c r="C4" s="59"/>
      <c r="D4" s="60">
        <f>IFERROR(SUMIF('Bid Log'!Q:Q,"Awarded",'Bid Log'!R:R),0)</f>
        <v>5240366</v>
      </c>
      <c r="E4" s="60"/>
      <c r="F4" s="61">
        <f>IFERROR(SUMIF('Bid Log'!Q:Q,"Lost",'Bid Log'!P:P),0)</f>
        <v>39672921</v>
      </c>
      <c r="G4" s="61"/>
      <c r="H4" s="62">
        <f>IFERROR(SUMIF('Bid Log'!Q:Q,"Bid Submitted",'Bid Log'!P:P)+SUMIF('Bid Log'!Q:Q,"Budget Submitted",'Bid Log'!P:P)+SUMIF('Bid Log'!Q:Q,"ROM Submitted",'Bid Log'!P:P),0)</f>
        <v>188708577</v>
      </c>
      <c r="I4" s="62"/>
      <c r="J4" s="63">
        <f>IFERROR(SUMIF('Bid Log'!Q:Q,"Awarded",'Bid Log'!P:P)/(SUMIF('Bid Log'!Q:Q,"Awarded",'Bid Log'!P:P)+SUMIF('Bid Log'!Q:Q,"Lost",'Bid Log'!P:P)),0)</f>
        <v>0.14209524273316593</v>
      </c>
      <c r="K4" s="63"/>
      <c r="L4" s="63"/>
    </row>
    <row r="5" spans="2:12" ht="8.1" customHeight="1" x14ac:dyDescent="0.25"/>
    <row r="6" spans="2:12" ht="18" customHeight="1" x14ac:dyDescent="0.25">
      <c r="B6" s="55" t="s">
        <v>6</v>
      </c>
      <c r="C6" s="55"/>
      <c r="D6" s="64" t="s">
        <v>7</v>
      </c>
      <c r="E6" s="64"/>
      <c r="F6" s="57" t="s">
        <v>8</v>
      </c>
      <c r="G6" s="57"/>
      <c r="H6" s="65" t="s">
        <v>9</v>
      </c>
      <c r="I6" s="65"/>
      <c r="J6" s="55" t="s">
        <v>10</v>
      </c>
      <c r="K6" s="55"/>
      <c r="L6" s="55"/>
    </row>
    <row r="7" spans="2:12" ht="36" customHeight="1" x14ac:dyDescent="0.5">
      <c r="B7" s="59">
        <f>IFERROR(SUMPRODUCT((('Bid Log'!Q:Q="Bid Submitted")+('Bid Log'!Q:Q="Budget Submitted")&gt;0)*('Bid Log'!W:W&gt;=0.7)*'Bid Log'!P:P),0)</f>
        <v>0</v>
      </c>
      <c r="C7" s="59"/>
      <c r="D7" s="66">
        <f ca="1">IFERROR(COUNTIFS('Bid Log'!L:L,"&gt;="&amp;TODAY(),'Bid Log'!L:L,"&lt;="&amp;TODAY()+7,'Bid Log'!Q:Q,"In Progress"),0)</f>
        <v>0</v>
      </c>
      <c r="E7" s="66"/>
      <c r="F7" s="67">
        <f ca="1">IFERROR(COUNTIF('Bid Log'!AE:AE,"OVERDUE"),0)</f>
        <v>0</v>
      </c>
      <c r="G7" s="67"/>
      <c r="H7" s="68">
        <f ca="1">IFERROR(COUNTIFS('Bid Log'!V:V,"&gt;="&amp;DATE(YEAR(TODAY()),MONTH(TODAY()),1),'Bid Log'!V:V,"&lt;="&amp;EOMONTH(TODAY(),0),'Bid Log'!Q:Q,"Bid Submitted"),0)</f>
        <v>0</v>
      </c>
      <c r="I7" s="68"/>
      <c r="J7" s="63">
        <f>IFERROR(COUNTIF('Bid Log'!Q:Q,"Awarded")/(COUNTIF('Bid Log'!Q:Q,"Awarded")+COUNTIF('Bid Log'!Q:Q,"Lost")),0)</f>
        <v>0.1875</v>
      </c>
      <c r="K7" s="63"/>
      <c r="L7" s="63"/>
    </row>
    <row r="8" spans="2:12" ht="12" customHeight="1" x14ac:dyDescent="0.25"/>
    <row r="9" spans="2:12" ht="21.95" customHeight="1" x14ac:dyDescent="0.25">
      <c r="B9" s="69" t="s">
        <v>11</v>
      </c>
      <c r="C9" s="69"/>
      <c r="D9" s="69"/>
      <c r="E9" s="69"/>
      <c r="F9" s="69"/>
      <c r="G9" s="69"/>
      <c r="H9" s="69"/>
      <c r="I9" s="69"/>
      <c r="J9" s="69"/>
      <c r="K9" s="69"/>
      <c r="L9" s="69"/>
    </row>
    <row r="10" spans="2:12" ht="18" customHeight="1" x14ac:dyDescent="0.25">
      <c r="B10" s="70" t="s">
        <v>12</v>
      </c>
      <c r="C10" s="70"/>
      <c r="D10" s="70"/>
      <c r="E10" s="1" t="s">
        <v>13</v>
      </c>
      <c r="F10" s="70" t="s">
        <v>14</v>
      </c>
      <c r="G10" s="70"/>
      <c r="H10" s="1" t="s">
        <v>15</v>
      </c>
      <c r="I10" s="1" t="s">
        <v>16</v>
      </c>
      <c r="J10" s="70" t="s">
        <v>17</v>
      </c>
      <c r="K10" s="70"/>
      <c r="L10" s="1" t="s">
        <v>18</v>
      </c>
    </row>
    <row r="11" spans="2:12" ht="15.95" customHeight="1" x14ac:dyDescent="0.25">
      <c r="B11" s="71" t="s">
        <v>19</v>
      </c>
      <c r="C11" s="71"/>
      <c r="D11" s="71"/>
      <c r="E11" s="3">
        <f>COUNTIFS('Bid Log'!E:E,"Correctional",'Bid Log'!Q:Q,"&lt;&gt;No Bid")</f>
        <v>0</v>
      </c>
      <c r="F11" s="72">
        <f>IFERROR(SUMIFS('Bid Log'!P:P,'Bid Log'!E:E,"Correctional",'Bid Log'!Q:Q,"&lt;&gt;No Bid"),0)</f>
        <v>0</v>
      </c>
      <c r="G11" s="72"/>
      <c r="H11" s="3">
        <f>COUNTIFS('Bid Log'!E:E,"Correctional",'Bid Log'!Q:Q,"Awarded")</f>
        <v>0</v>
      </c>
      <c r="I11" s="3">
        <f>COUNTIFS('Bid Log'!E:E,"Correctional",'Bid Log'!Q:Q,"Lost")</f>
        <v>0</v>
      </c>
      <c r="J11" s="72">
        <f>IFERROR(SUMIFS('Bid Log'!R:R,'Bid Log'!E:E,"Correctional",'Bid Log'!Q:Q,"Awarded"),0)</f>
        <v>0</v>
      </c>
      <c r="K11" s="72"/>
      <c r="L11" s="5" t="str">
        <f t="shared" ref="L11:L25" si="0">IFERROR(H11/(H11+I11),"")</f>
        <v/>
      </c>
    </row>
    <row r="12" spans="2:12" ht="15.95" customHeight="1" x14ac:dyDescent="0.25">
      <c r="B12" s="73" t="s">
        <v>20</v>
      </c>
      <c r="C12" s="73"/>
      <c r="D12" s="73"/>
      <c r="E12" s="7">
        <f>COUNTIFS('Bid Log'!E:E,"Education",'Bid Log'!Q:Q,"&lt;&gt;No Bid")</f>
        <v>6</v>
      </c>
      <c r="F12" s="74">
        <f>IFERROR(SUMIFS('Bid Log'!P:P,'Bid Log'!E:E,"Education",'Bid Log'!Q:Q,"&lt;&gt;No Bid"),0)</f>
        <v>17443544</v>
      </c>
      <c r="G12" s="74"/>
      <c r="H12" s="7">
        <f>COUNTIFS('Bid Log'!E:E,"Education",'Bid Log'!Q:Q,"Awarded")</f>
        <v>0</v>
      </c>
      <c r="I12" s="7">
        <f>COUNTIFS('Bid Log'!E:E,"Education",'Bid Log'!Q:Q,"Lost")</f>
        <v>0</v>
      </c>
      <c r="J12" s="74">
        <f>IFERROR(SUMIFS('Bid Log'!R:R,'Bid Log'!E:E,"Education",'Bid Log'!Q:Q,"Awarded"),0)</f>
        <v>0</v>
      </c>
      <c r="K12" s="74"/>
      <c r="L12" s="9" t="str">
        <f t="shared" si="0"/>
        <v/>
      </c>
    </row>
    <row r="13" spans="2:12" ht="15.95" customHeight="1" x14ac:dyDescent="0.25">
      <c r="B13" s="71" t="s">
        <v>21</v>
      </c>
      <c r="C13" s="71"/>
      <c r="D13" s="71"/>
      <c r="E13" s="3">
        <f>COUNTIFS('Bid Log'!E:E,"Federal / Government",'Bid Log'!Q:Q,"&lt;&gt;No Bid")</f>
        <v>0</v>
      </c>
      <c r="F13" s="72">
        <f>IFERROR(SUMIFS('Bid Log'!P:P,'Bid Log'!E:E,"Federal / Government",'Bid Log'!Q:Q,"&lt;&gt;No Bid"),0)</f>
        <v>0</v>
      </c>
      <c r="G13" s="72"/>
      <c r="H13" s="3">
        <f>COUNTIFS('Bid Log'!E:E,"Federal / Government",'Bid Log'!Q:Q,"Awarded")</f>
        <v>0</v>
      </c>
      <c r="I13" s="3">
        <f>COUNTIFS('Bid Log'!E:E,"Federal / Government",'Bid Log'!Q:Q,"Lost")</f>
        <v>0</v>
      </c>
      <c r="J13" s="72">
        <f>IFERROR(SUMIFS('Bid Log'!R:R,'Bid Log'!E:E,"Federal / Government",'Bid Log'!Q:Q,"Awarded"),0)</f>
        <v>0</v>
      </c>
      <c r="K13" s="72"/>
      <c r="L13" s="5" t="str">
        <f t="shared" si="0"/>
        <v/>
      </c>
    </row>
    <row r="14" spans="2:12" ht="15.95" customHeight="1" x14ac:dyDescent="0.25">
      <c r="B14" s="73" t="s">
        <v>22</v>
      </c>
      <c r="C14" s="73"/>
      <c r="D14" s="73"/>
      <c r="E14" s="7">
        <f>COUNTIFS('Bid Log'!E:E,"Food Service",'Bid Log'!Q:Q,"&lt;&gt;No Bid")</f>
        <v>0</v>
      </c>
      <c r="F14" s="74">
        <f>IFERROR(SUMIFS('Bid Log'!P:P,'Bid Log'!E:E,"Food Service",'Bid Log'!Q:Q,"&lt;&gt;No Bid"),0)</f>
        <v>0</v>
      </c>
      <c r="G14" s="74"/>
      <c r="H14" s="7">
        <f>COUNTIFS('Bid Log'!E:E,"Food Service",'Bid Log'!Q:Q,"Awarded")</f>
        <v>0</v>
      </c>
      <c r="I14" s="7">
        <f>COUNTIFS('Bid Log'!E:E,"Food Service",'Bid Log'!Q:Q,"Lost")</f>
        <v>0</v>
      </c>
      <c r="J14" s="74">
        <f>IFERROR(SUMIFS('Bid Log'!R:R,'Bid Log'!E:E,"Food Service",'Bid Log'!Q:Q,"Awarded"),0)</f>
        <v>0</v>
      </c>
      <c r="K14" s="74"/>
      <c r="L14" s="9" t="str">
        <f t="shared" si="0"/>
        <v/>
      </c>
    </row>
    <row r="15" spans="2:12" ht="15.95" customHeight="1" x14ac:dyDescent="0.25">
      <c r="B15" s="71" t="s">
        <v>23</v>
      </c>
      <c r="C15" s="71"/>
      <c r="D15" s="71"/>
      <c r="E15" s="3">
        <f>COUNTIFS('Bid Log'!E:E,"Healthcare",'Bid Log'!Q:Q,"&lt;&gt;No Bid")</f>
        <v>4</v>
      </c>
      <c r="F15" s="72">
        <f>IFERROR(SUMIFS('Bid Log'!P:P,'Bid Log'!E:E,"Healthcare",'Bid Log'!Q:Q,"&lt;&gt;No Bid"),0)</f>
        <v>11702023</v>
      </c>
      <c r="G15" s="72"/>
      <c r="H15" s="3">
        <f>COUNTIFS('Bid Log'!E:E,"Healthcare",'Bid Log'!Q:Q,"Awarded")</f>
        <v>0</v>
      </c>
      <c r="I15" s="3">
        <f>COUNTIFS('Bid Log'!E:E,"Healthcare",'Bid Log'!Q:Q,"Lost")</f>
        <v>1</v>
      </c>
      <c r="J15" s="72">
        <f>IFERROR(SUMIFS('Bid Log'!R:R,'Bid Log'!E:E,"Healthcare",'Bid Log'!Q:Q,"Awarded"),0)</f>
        <v>0</v>
      </c>
      <c r="K15" s="72"/>
      <c r="L15" s="5">
        <f t="shared" si="0"/>
        <v>0</v>
      </c>
    </row>
    <row r="16" spans="2:12" ht="15.95" customHeight="1" x14ac:dyDescent="0.25">
      <c r="B16" s="73" t="s">
        <v>24</v>
      </c>
      <c r="C16" s="73"/>
      <c r="D16" s="73"/>
      <c r="E16" s="7">
        <f>COUNTIFS('Bid Log'!E:E,"Hotel / Resort",'Bid Log'!Q:Q,"&lt;&gt;No Bid")</f>
        <v>3</v>
      </c>
      <c r="F16" s="74">
        <f>IFERROR(SUMIFS('Bid Log'!P:P,'Bid Log'!E:E,"Hotel / Resort",'Bid Log'!Q:Q,"&lt;&gt;No Bid"),0)</f>
        <v>2343079</v>
      </c>
      <c r="G16" s="74"/>
      <c r="H16" s="7">
        <f>COUNTIFS('Bid Log'!E:E,"Hotel / Resort",'Bid Log'!Q:Q,"Awarded")</f>
        <v>0</v>
      </c>
      <c r="I16" s="7">
        <f>COUNTIFS('Bid Log'!E:E,"Hotel / Resort",'Bid Log'!Q:Q,"Lost")</f>
        <v>1</v>
      </c>
      <c r="J16" s="74">
        <f>IFERROR(SUMIFS('Bid Log'!R:R,'Bid Log'!E:E,"Hotel / Resort",'Bid Log'!Q:Q,"Awarded"),0)</f>
        <v>0</v>
      </c>
      <c r="K16" s="74"/>
      <c r="L16" s="9">
        <f t="shared" si="0"/>
        <v>0</v>
      </c>
    </row>
    <row r="17" spans="2:12" ht="15.95" customHeight="1" x14ac:dyDescent="0.25">
      <c r="B17" s="71" t="s">
        <v>25</v>
      </c>
      <c r="C17" s="71"/>
      <c r="D17" s="71"/>
      <c r="E17" s="3">
        <f>COUNTIFS('Bid Log'!E:E,"Industrial / Manufacturing",'Bid Log'!Q:Q,"&lt;&gt;No Bid")</f>
        <v>1</v>
      </c>
      <c r="F17" s="72">
        <f>IFERROR(SUMIFS('Bid Log'!P:P,'Bid Log'!E:E,"Industrial / Manufacturing",'Bid Log'!Q:Q,"&lt;&gt;No Bid"),0)</f>
        <v>1950000</v>
      </c>
      <c r="G17" s="72"/>
      <c r="H17" s="3">
        <f>COUNTIFS('Bid Log'!E:E,"Industrial / Manufacturing",'Bid Log'!Q:Q,"Awarded")</f>
        <v>0</v>
      </c>
      <c r="I17" s="3">
        <f>COUNTIFS('Bid Log'!E:E,"Industrial / Manufacturing",'Bid Log'!Q:Q,"Lost")</f>
        <v>0</v>
      </c>
      <c r="J17" s="72">
        <f>IFERROR(SUMIFS('Bid Log'!R:R,'Bid Log'!E:E,"Industrial / Manufacturing",'Bid Log'!Q:Q,"Awarded"),0)</f>
        <v>0</v>
      </c>
      <c r="K17" s="72"/>
      <c r="L17" s="5" t="str">
        <f t="shared" si="0"/>
        <v/>
      </c>
    </row>
    <row r="18" spans="2:12" ht="15.95" customHeight="1" x14ac:dyDescent="0.25">
      <c r="B18" s="73" t="s">
        <v>26</v>
      </c>
      <c r="C18" s="73"/>
      <c r="D18" s="73"/>
      <c r="E18" s="7">
        <f>COUNTIFS('Bid Log'!E:E,"Mission Critical",'Bid Log'!Q:Q,"&lt;&gt;No Bid")</f>
        <v>1</v>
      </c>
      <c r="F18" s="74">
        <f>IFERROR(SUMIFS('Bid Log'!P:P,'Bid Log'!E:E,"Mission Critical",'Bid Log'!Q:Q,"&lt;&gt;No Bid"),0)</f>
        <v>12985469</v>
      </c>
      <c r="G18" s="74"/>
      <c r="H18" s="7">
        <f>COUNTIFS('Bid Log'!E:E,"Mission Critical",'Bid Log'!Q:Q,"Awarded")</f>
        <v>0</v>
      </c>
      <c r="I18" s="7">
        <f>COUNTIFS('Bid Log'!E:E,"Mission Critical",'Bid Log'!Q:Q,"Lost")</f>
        <v>0</v>
      </c>
      <c r="J18" s="74">
        <f>IFERROR(SUMIFS('Bid Log'!R:R,'Bid Log'!E:E,"Mission Critical",'Bid Log'!Q:Q,"Awarded"),0)</f>
        <v>0</v>
      </c>
      <c r="K18" s="74"/>
      <c r="L18" s="9" t="str">
        <f t="shared" si="0"/>
        <v/>
      </c>
    </row>
    <row r="19" spans="2:12" ht="15.95" customHeight="1" x14ac:dyDescent="0.25">
      <c r="B19" s="71" t="s">
        <v>27</v>
      </c>
      <c r="C19" s="71"/>
      <c r="D19" s="71"/>
      <c r="E19" s="3">
        <f>COUNTIFS('Bid Log'!E:E,"Multi-Family",'Bid Log'!Q:Q,"&lt;&gt;No Bid")</f>
        <v>35</v>
      </c>
      <c r="F19" s="72">
        <f>IFERROR(SUMIFS('Bid Log'!P:P,'Bid Log'!E:E,"Multi-Family",'Bid Log'!Q:Q,"&lt;&gt;No Bid"),0)</f>
        <v>175877999</v>
      </c>
      <c r="G19" s="72"/>
      <c r="H19" s="3">
        <f>COUNTIFS('Bid Log'!E:E,"Multi-Family",'Bid Log'!Q:Q,"Awarded")</f>
        <v>3</v>
      </c>
      <c r="I19" s="3">
        <f>COUNTIFS('Bid Log'!E:E,"Multi-Family",'Bid Log'!Q:Q,"Lost")</f>
        <v>7</v>
      </c>
      <c r="J19" s="72">
        <f>IFERROR(SUMIFS('Bid Log'!R:R,'Bid Log'!E:E,"Multi-Family",'Bid Log'!Q:Q,"Awarded"),0)</f>
        <v>5240366</v>
      </c>
      <c r="K19" s="72"/>
      <c r="L19" s="5">
        <f t="shared" si="0"/>
        <v>0.3</v>
      </c>
    </row>
    <row r="20" spans="2:12" ht="15.95" customHeight="1" x14ac:dyDescent="0.25">
      <c r="B20" s="73" t="s">
        <v>28</v>
      </c>
      <c r="C20" s="73"/>
      <c r="D20" s="73"/>
      <c r="E20" s="7">
        <f>COUNTIFS('Bid Log'!E:E,"Municipal",'Bid Log'!Q:Q,"&lt;&gt;No Bid")</f>
        <v>3</v>
      </c>
      <c r="F20" s="74">
        <f>IFERROR(SUMIFS('Bid Log'!P:P,'Bid Log'!E:E,"Municipal",'Bid Log'!Q:Q,"&lt;&gt;No Bid"),0)</f>
        <v>657224</v>
      </c>
      <c r="G20" s="74"/>
      <c r="H20" s="7">
        <f>COUNTIFS('Bid Log'!E:E,"Municipal",'Bid Log'!Q:Q,"Awarded")</f>
        <v>0</v>
      </c>
      <c r="I20" s="7">
        <f>COUNTIFS('Bid Log'!E:E,"Municipal",'Bid Log'!Q:Q,"Lost")</f>
        <v>0</v>
      </c>
      <c r="J20" s="74">
        <f>IFERROR(SUMIFS('Bid Log'!R:R,'Bid Log'!E:E,"Municipal",'Bid Log'!Q:Q,"Awarded"),0)</f>
        <v>0</v>
      </c>
      <c r="K20" s="74"/>
      <c r="L20" s="9" t="str">
        <f t="shared" si="0"/>
        <v/>
      </c>
    </row>
    <row r="21" spans="2:12" ht="15.95" customHeight="1" x14ac:dyDescent="0.25">
      <c r="B21" s="71" t="s">
        <v>29</v>
      </c>
      <c r="C21" s="71"/>
      <c r="D21" s="71"/>
      <c r="E21" s="3">
        <f>COUNTIFS('Bid Log'!E:E,"Professional Office",'Bid Log'!Q:Q,"&lt;&gt;No Bid")</f>
        <v>20</v>
      </c>
      <c r="F21" s="72">
        <f>IFERROR(SUMIFS('Bid Log'!P:P,'Bid Log'!E:E,"Professional Office",'Bid Log'!Q:Q,"&lt;&gt;No Bid"),0)</f>
        <v>18004349</v>
      </c>
      <c r="G21" s="72"/>
      <c r="H21" s="3">
        <f>COUNTIFS('Bid Log'!E:E,"Professional Office",'Bid Log'!Q:Q,"Awarded")</f>
        <v>0</v>
      </c>
      <c r="I21" s="3">
        <f>COUNTIFS('Bid Log'!E:E,"Professional Office",'Bid Log'!Q:Q,"Lost")</f>
        <v>4</v>
      </c>
      <c r="J21" s="72">
        <f>IFERROR(SUMIFS('Bid Log'!R:R,'Bid Log'!E:E,"Professional Office",'Bid Log'!Q:Q,"Awarded"),0)</f>
        <v>0</v>
      </c>
      <c r="K21" s="72"/>
      <c r="L21" s="5">
        <f t="shared" si="0"/>
        <v>0</v>
      </c>
    </row>
    <row r="22" spans="2:12" ht="15.95" customHeight="1" x14ac:dyDescent="0.25">
      <c r="B22" s="73" t="s">
        <v>30</v>
      </c>
      <c r="C22" s="73"/>
      <c r="D22" s="73"/>
      <c r="E22" s="7">
        <f>COUNTIFS('Bid Log'!E:E,"Religious / Cultural",'Bid Log'!Q:Q,"&lt;&gt;No Bid")</f>
        <v>0</v>
      </c>
      <c r="F22" s="74">
        <f>IFERROR(SUMIFS('Bid Log'!P:P,'Bid Log'!E:E,"Religious / Cultural",'Bid Log'!Q:Q,"&lt;&gt;No Bid"),0)</f>
        <v>0</v>
      </c>
      <c r="G22" s="74"/>
      <c r="H22" s="7">
        <f>COUNTIFS('Bid Log'!E:E,"Religious / Cultural",'Bid Log'!Q:Q,"Awarded")</f>
        <v>0</v>
      </c>
      <c r="I22" s="7">
        <f>COUNTIFS('Bid Log'!E:E,"Religious / Cultural",'Bid Log'!Q:Q,"Lost")</f>
        <v>0</v>
      </c>
      <c r="J22" s="74">
        <f>IFERROR(SUMIFS('Bid Log'!R:R,'Bid Log'!E:E,"Religious / Cultural",'Bid Log'!Q:Q,"Awarded"),0)</f>
        <v>0</v>
      </c>
      <c r="K22" s="74"/>
      <c r="L22" s="9" t="str">
        <f t="shared" si="0"/>
        <v/>
      </c>
    </row>
    <row r="23" spans="2:12" ht="15.95" customHeight="1" x14ac:dyDescent="0.25">
      <c r="B23" s="71" t="s">
        <v>31</v>
      </c>
      <c r="C23" s="71"/>
      <c r="D23" s="71"/>
      <c r="E23" s="3">
        <f>COUNTIFS('Bid Log'!E:E,"Retail",'Bid Log'!Q:Q,"&lt;&gt;No Bid")</f>
        <v>0</v>
      </c>
      <c r="F23" s="72">
        <f>IFERROR(SUMIFS('Bid Log'!P:P,'Bid Log'!E:E,"Retail",'Bid Log'!Q:Q,"&lt;&gt;No Bid"),0)</f>
        <v>0</v>
      </c>
      <c r="G23" s="72"/>
      <c r="H23" s="3">
        <f>COUNTIFS('Bid Log'!E:E,"Retail",'Bid Log'!Q:Q,"Awarded")</f>
        <v>0</v>
      </c>
      <c r="I23" s="3">
        <f>COUNTIFS('Bid Log'!E:E,"Retail",'Bid Log'!Q:Q,"Lost")</f>
        <v>0</v>
      </c>
      <c r="J23" s="72">
        <f>IFERROR(SUMIFS('Bid Log'!R:R,'Bid Log'!E:E,"Retail",'Bid Log'!Q:Q,"Awarded"),0)</f>
        <v>0</v>
      </c>
      <c r="K23" s="72"/>
      <c r="L23" s="5" t="str">
        <f t="shared" si="0"/>
        <v/>
      </c>
    </row>
    <row r="24" spans="2:12" ht="15.95" customHeight="1" x14ac:dyDescent="0.25">
      <c r="B24" s="73" t="s">
        <v>32</v>
      </c>
      <c r="C24" s="73"/>
      <c r="D24" s="73"/>
      <c r="E24" s="7">
        <f>COUNTIFS('Bid Log'!E:E,"Transportation",'Bid Log'!Q:Q,"&lt;&gt;No Bid")</f>
        <v>0</v>
      </c>
      <c r="F24" s="74">
        <f>IFERROR(SUMIFS('Bid Log'!P:P,'Bid Log'!E:E,"Transportation",'Bid Log'!Q:Q,"&lt;&gt;No Bid"),0)</f>
        <v>0</v>
      </c>
      <c r="G24" s="74"/>
      <c r="H24" s="7">
        <f>COUNTIFS('Bid Log'!E:E,"Transportation",'Bid Log'!Q:Q,"Awarded")</f>
        <v>0</v>
      </c>
      <c r="I24" s="7">
        <f>COUNTIFS('Bid Log'!E:E,"Transportation",'Bid Log'!Q:Q,"Lost")</f>
        <v>0</v>
      </c>
      <c r="J24" s="74">
        <f>IFERROR(SUMIFS('Bid Log'!R:R,'Bid Log'!E:E,"Transportation",'Bid Log'!Q:Q,"Awarded"),0)</f>
        <v>0</v>
      </c>
      <c r="K24" s="74"/>
      <c r="L24" s="9" t="str">
        <f t="shared" si="0"/>
        <v/>
      </c>
    </row>
    <row r="25" spans="2:12" ht="15.95" customHeight="1" x14ac:dyDescent="0.25">
      <c r="B25" s="71" t="s">
        <v>33</v>
      </c>
      <c r="C25" s="71"/>
      <c r="D25" s="71"/>
      <c r="E25" s="3">
        <f>COUNTIFS('Bid Log'!E:E,"Warehouse / Distribution",'Bid Log'!Q:Q,"&lt;&gt;No Bid")</f>
        <v>0</v>
      </c>
      <c r="F25" s="72">
        <f>IFERROR(SUMIFS('Bid Log'!P:P,'Bid Log'!E:E,"Warehouse / Distribution",'Bid Log'!Q:Q,"&lt;&gt;No Bid"),0)</f>
        <v>0</v>
      </c>
      <c r="G25" s="72"/>
      <c r="H25" s="3">
        <f>COUNTIFS('Bid Log'!E:E,"Warehouse / Distribution",'Bid Log'!Q:Q,"Awarded")</f>
        <v>0</v>
      </c>
      <c r="I25" s="3">
        <f>COUNTIFS('Bid Log'!E:E,"Warehouse / Distribution",'Bid Log'!Q:Q,"Lost")</f>
        <v>0</v>
      </c>
      <c r="J25" s="72">
        <f>IFERROR(SUMIFS('Bid Log'!R:R,'Bid Log'!E:E,"Warehouse / Distribution",'Bid Log'!Q:Q,"Awarded"),0)</f>
        <v>0</v>
      </c>
      <c r="K25" s="72"/>
      <c r="L25" s="5" t="str">
        <f t="shared" si="0"/>
        <v/>
      </c>
    </row>
    <row r="27" spans="2:12" ht="21.95" customHeight="1" x14ac:dyDescent="0.25">
      <c r="B27" s="69" t="s">
        <v>34</v>
      </c>
      <c r="C27" s="69"/>
      <c r="D27" s="69"/>
      <c r="E27" s="69"/>
      <c r="F27" s="69"/>
      <c r="G27" s="69"/>
      <c r="H27" s="69"/>
      <c r="I27" s="69"/>
      <c r="J27" s="69"/>
      <c r="K27" s="94"/>
      <c r="L27" s="94"/>
    </row>
    <row r="28" spans="2:12" ht="18" customHeight="1" x14ac:dyDescent="0.25">
      <c r="B28" s="70" t="s">
        <v>35</v>
      </c>
      <c r="C28" s="70"/>
      <c r="D28" s="1" t="s">
        <v>36</v>
      </c>
      <c r="E28" s="70" t="s">
        <v>37</v>
      </c>
      <c r="F28" s="70"/>
      <c r="G28" s="1" t="s">
        <v>38</v>
      </c>
      <c r="H28" s="70" t="s">
        <v>17</v>
      </c>
      <c r="I28" s="70"/>
      <c r="J28" s="93" t="s">
        <v>39</v>
      </c>
      <c r="K28" s="95" t="s">
        <v>18</v>
      </c>
      <c r="L28" s="96"/>
    </row>
    <row r="29" spans="2:12" ht="15.95" customHeight="1" x14ac:dyDescent="0.25">
      <c r="B29" s="71" t="s">
        <v>40</v>
      </c>
      <c r="C29" s="71"/>
      <c r="D29" s="3">
        <f>COUNTIFS('Bid Log'!I:I,"Patrick",'Bid Log'!Q:Q,"Bid Submitted")+COUNTIFS('Bid Log'!I:I,"Patrick",'Bid Log'!Q:Q,"Budget Submitted")+COUNTIFS('Bid Log'!I:I,"Patrick",'Bid Log'!Q:Q,"In Progress")</f>
        <v>35</v>
      </c>
      <c r="E29" s="72">
        <f>IFERROR(SUMIFS('Bid Log'!P:P,'Bid Log'!I:I,"Patrick",'Bid Log'!Q:Q,"Bid Submitted")+SUMIFS('Bid Log'!P:P,'Bid Log'!I:I,"Patrick",'Bid Log'!Q:Q,"Budget Submitted")+SUMIFS('Bid Log'!P:P,'Bid Log'!I:I,"Patrick",'Bid Log'!Q:Q,"In Progress"),0)</f>
        <v>94086665</v>
      </c>
      <c r="F29" s="72"/>
      <c r="G29" s="3">
        <f>COUNTIFS('Bid Log'!I:I,"Patrick",'Bid Log'!Q:Q,"Awarded")</f>
        <v>0</v>
      </c>
      <c r="H29" s="72">
        <f>IFERROR(SUMIFS('Bid Log'!R:R,'Bid Log'!I:I,"Patrick",'Bid Log'!Q:Q,"Awarded"),0)</f>
        <v>0</v>
      </c>
      <c r="I29" s="72"/>
      <c r="J29" s="97">
        <f>COUNTIFS('Bid Log'!I:I,"Patrick",'Bid Log'!Q:Q,"Lost")</f>
        <v>3</v>
      </c>
      <c r="K29" s="98">
        <f>IFERROR(G29/(G29+J29),"")</f>
        <v>0</v>
      </c>
      <c r="L29" s="99"/>
    </row>
    <row r="30" spans="2:12" ht="15.95" customHeight="1" x14ac:dyDescent="0.25">
      <c r="B30" s="73" t="s">
        <v>41</v>
      </c>
      <c r="C30" s="73"/>
      <c r="D30" s="7">
        <f>COUNTIFS('Bid Log'!I:I,"Cristhian",'Bid Log'!Q:Q,"Bid Submitted")+COUNTIFS('Bid Log'!I:I,"Cristhian",'Bid Log'!Q:Q,"Budget Submitted")+COUNTIFS('Bid Log'!I:I,"Cristhian",'Bid Log'!Q:Q,"In Progress")</f>
        <v>16</v>
      </c>
      <c r="E30" s="74">
        <f>IFERROR(SUMIFS('Bid Log'!P:P,'Bid Log'!I:I,"Cristhian",'Bid Log'!Q:Q,"Bid Submitted")+SUMIFS('Bid Log'!P:P,'Bid Log'!I:I,"Cristhian",'Bid Log'!Q:Q,"Budget Submitted")+SUMIFS('Bid Log'!P:P,'Bid Log'!I:I,"Cristhian",'Bid Log'!Q:Q,"In Progress"),0)</f>
        <v>70533245</v>
      </c>
      <c r="F30" s="74"/>
      <c r="G30" s="7">
        <f>COUNTIFS('Bid Log'!I:I,"Cristhian",'Bid Log'!Q:Q,"Awarded")</f>
        <v>3</v>
      </c>
      <c r="H30" s="74">
        <f>IFERROR(SUMIFS('Bid Log'!R:R,'Bid Log'!I:I,"Cristhian",'Bid Log'!Q:Q,"Awarded"),0)</f>
        <v>5240366</v>
      </c>
      <c r="I30" s="74"/>
      <c r="J30" s="100">
        <f>COUNTIFS('Bid Log'!I:I,"Cristhian",'Bid Log'!Q:Q,"Lost")</f>
        <v>7</v>
      </c>
      <c r="K30" s="101">
        <f>IFERROR(G30/(G30+J30),"")</f>
        <v>0.3</v>
      </c>
      <c r="L30" s="102"/>
    </row>
    <row r="31" spans="2:12" ht="15.95" customHeight="1" x14ac:dyDescent="0.25">
      <c r="B31" s="71" t="s">
        <v>42</v>
      </c>
      <c r="C31" s="71"/>
      <c r="D31" s="3">
        <f>COUNTIFS('Bid Log'!I:I,"Les",'Bid Log'!Q:Q,"Bid Submitted")+COUNTIFS('Bid Log'!I:I,"Les",'Bid Log'!Q:Q,"Budget Submitted")+COUNTIFS('Bid Log'!I:I,"Les",'Bid Log'!Q:Q,"In Progress")</f>
        <v>4</v>
      </c>
      <c r="E31" s="72">
        <f>IFERROR(SUMIFS('Bid Log'!P:P,'Bid Log'!I:I,"Les",'Bid Log'!Q:Q,"Bid Submitted")+SUMIFS('Bid Log'!P:P,'Bid Log'!I:I,"Les",'Bid Log'!Q:Q,"Budget Submitted")+SUMIFS('Bid Log'!P:P,'Bid Log'!I:I,"Les",'Bid Log'!Q:Q,"In Progress"),0)</f>
        <v>16252808</v>
      </c>
      <c r="F31" s="72"/>
      <c r="G31" s="3">
        <f>COUNTIFS('Bid Log'!I:I,"Les",'Bid Log'!Q:Q,"Awarded")</f>
        <v>0</v>
      </c>
      <c r="H31" s="72">
        <f>IFERROR(SUMIFS('Bid Log'!R:R,'Bid Log'!I:I,"Les",'Bid Log'!Q:Q,"Awarded"),0)</f>
        <v>0</v>
      </c>
      <c r="I31" s="72"/>
      <c r="J31" s="97">
        <f>COUNTIFS('Bid Log'!I:I,"Les",'Bid Log'!Q:Q,"Lost")</f>
        <v>2</v>
      </c>
      <c r="K31" s="98">
        <f>IFERROR(G31/(G31+J31),"")</f>
        <v>0</v>
      </c>
      <c r="L31" s="99"/>
    </row>
    <row r="32" spans="2:12" ht="15.95" customHeight="1" x14ac:dyDescent="0.25">
      <c r="B32" s="73" t="s">
        <v>43</v>
      </c>
      <c r="C32" s="73"/>
      <c r="D32" s="7">
        <f>COUNTIFS('Bid Log'!I:I,"Sam",'Bid Log'!Q:Q,"Bid Submitted")+COUNTIFS('Bid Log'!I:I,"Sam",'Bid Log'!Q:Q,"Budget Submitted")+COUNTIFS('Bid Log'!I:I,"Sam",'Bid Log'!Q:Q,"In Progress")</f>
        <v>2</v>
      </c>
      <c r="E32" s="74">
        <f>IFERROR(SUMIFS('Bid Log'!P:P,'Bid Log'!I:I,"Sam",'Bid Log'!Q:Q,"Bid Submitted")+SUMIFS('Bid Log'!P:P,'Bid Log'!I:I,"Sam",'Bid Log'!Q:Q,"Budget Submitted")+SUMIFS('Bid Log'!P:P,'Bid Log'!I:I,"Sam",'Bid Log'!Q:Q,"In Progress"),0)</f>
        <v>13847000</v>
      </c>
      <c r="F32" s="74"/>
      <c r="G32" s="7">
        <f>COUNTIFS('Bid Log'!I:I,"Sam",'Bid Log'!Q:Q,"Awarded")</f>
        <v>0</v>
      </c>
      <c r="H32" s="74">
        <f>IFERROR(SUMIFS('Bid Log'!R:R,'Bid Log'!I:I,"Sam",'Bid Log'!Q:Q,"Awarded"),0)</f>
        <v>0</v>
      </c>
      <c r="I32" s="74"/>
      <c r="J32" s="100">
        <f>COUNTIFS('Bid Log'!I:I,"Sam",'Bid Log'!Q:Q,"Lost")</f>
        <v>0</v>
      </c>
      <c r="K32" s="101" t="str">
        <f>IFERROR(G32/(G32+J32),"")</f>
        <v/>
      </c>
      <c r="L32" s="102"/>
    </row>
    <row r="33" spans="2:12" ht="15.95" customHeight="1" x14ac:dyDescent="0.25">
      <c r="B33" s="71" t="s">
        <v>44</v>
      </c>
      <c r="C33" s="71"/>
      <c r="D33" s="3">
        <f>COUNTIFS('Bid Log'!I:I,"No Bid",'Bid Log'!Q:Q,"Bid Submitted")+COUNTIFS('Bid Log'!I:I,"No Bid",'Bid Log'!Q:Q,"Budget Submitted")+COUNTIFS('Bid Log'!I:I,"No Bid",'Bid Log'!Q:Q,"In Progress")</f>
        <v>0</v>
      </c>
      <c r="E33" s="72">
        <f>IFERROR(SUMIFS('Bid Log'!P:P,'Bid Log'!I:I,"No Bid",'Bid Log'!Q:Q,"Bid Submitted")+SUMIFS('Bid Log'!P:P,'Bid Log'!I:I,"No Bid",'Bid Log'!Q:Q,"Budget Submitted")+SUMIFS('Bid Log'!P:P,'Bid Log'!I:I,"No Bid",'Bid Log'!Q:Q,"In Progress"),0)</f>
        <v>0</v>
      </c>
      <c r="F33" s="72"/>
      <c r="G33" s="3">
        <f>COUNTIFS('Bid Log'!I:I,"No Bid",'Bid Log'!Q:Q,"Awarded")</f>
        <v>0</v>
      </c>
      <c r="H33" s="72">
        <f>IFERROR(SUMIFS('Bid Log'!R:R,'Bid Log'!I:I,"No Bid",'Bid Log'!Q:Q,"Awarded"),0)</f>
        <v>0</v>
      </c>
      <c r="I33" s="72"/>
      <c r="J33" s="97">
        <f>COUNTIFS('Bid Log'!I:I,"No Bid",'Bid Log'!Q:Q,"Lost")</f>
        <v>0</v>
      </c>
      <c r="K33" s="98" t="str">
        <f>IFERROR(G33/(G33+J33),"")</f>
        <v/>
      </c>
      <c r="L33" s="99"/>
    </row>
    <row r="35" spans="2:12" ht="21.95" customHeight="1" x14ac:dyDescent="0.25">
      <c r="B35" s="69" t="s">
        <v>45</v>
      </c>
      <c r="C35" s="69"/>
      <c r="D35" s="69"/>
      <c r="E35" s="69"/>
      <c r="F35" s="69"/>
      <c r="G35" s="69"/>
      <c r="H35" s="69"/>
      <c r="I35" s="69"/>
      <c r="J35" s="69"/>
      <c r="K35" s="69"/>
      <c r="L35" s="69"/>
    </row>
    <row r="36" spans="2:12" ht="18" customHeight="1" x14ac:dyDescent="0.25">
      <c r="B36" s="70" t="s">
        <v>46</v>
      </c>
      <c r="C36" s="70"/>
      <c r="D36" s="70"/>
      <c r="E36" s="70"/>
      <c r="F36" s="70" t="s">
        <v>16</v>
      </c>
      <c r="G36" s="70"/>
      <c r="H36" s="70" t="s">
        <v>47</v>
      </c>
      <c r="I36" s="70"/>
      <c r="J36" s="70"/>
      <c r="K36" s="70"/>
      <c r="L36" s="70"/>
    </row>
    <row r="37" spans="2:12" ht="15.95" customHeight="1" x14ac:dyDescent="0.25">
      <c r="B37" s="71" t="s">
        <v>48</v>
      </c>
      <c r="C37" s="71"/>
      <c r="D37" s="71"/>
      <c r="E37" s="71"/>
      <c r="F37" s="75">
        <f>COUNTIFS('Bid Log'!U:U,"Price",'Bid Log'!Q:Q,"Lost")</f>
        <v>3</v>
      </c>
      <c r="G37" s="75"/>
      <c r="H37" s="72">
        <f>IFERROR(SUMIFS('Bid Log'!P:P,'Bid Log'!U:U,"Price",'Bid Log'!Q:Q,"Lost"),0)</f>
        <v>20916179</v>
      </c>
      <c r="I37" s="72"/>
      <c r="J37" s="72"/>
      <c r="K37" s="72"/>
      <c r="L37" s="72"/>
    </row>
    <row r="38" spans="2:12" ht="15.95" customHeight="1" x14ac:dyDescent="0.25">
      <c r="B38" s="73" t="s">
        <v>49</v>
      </c>
      <c r="C38" s="73"/>
      <c r="D38" s="73"/>
      <c r="E38" s="73"/>
      <c r="F38" s="76">
        <f>COUNTIFS('Bid Log'!U:U,"Relationship",'Bid Log'!Q:Q,"Lost")</f>
        <v>1</v>
      </c>
      <c r="G38" s="76"/>
      <c r="H38" s="74">
        <f>IFERROR(SUMIFS('Bid Log'!P:P,'Bid Log'!U:U,"Relationship",'Bid Log'!Q:Q,"Lost"),0)</f>
        <v>1084708</v>
      </c>
      <c r="I38" s="74"/>
      <c r="J38" s="74"/>
      <c r="K38" s="74"/>
      <c r="L38" s="74"/>
    </row>
    <row r="39" spans="2:12" ht="15.95" customHeight="1" x14ac:dyDescent="0.25">
      <c r="B39" s="71" t="s">
        <v>50</v>
      </c>
      <c r="C39" s="71"/>
      <c r="D39" s="71"/>
      <c r="E39" s="71"/>
      <c r="F39" s="75">
        <f>COUNTIFS('Bid Log'!U:U,"Scope Gap",'Bid Log'!Q:Q,"Lost")</f>
        <v>0</v>
      </c>
      <c r="G39" s="75"/>
      <c r="H39" s="72">
        <f>IFERROR(SUMIFS('Bid Log'!P:P,'Bid Log'!U:U,"Scope Gap",'Bid Log'!Q:Q,"Lost"),0)</f>
        <v>0</v>
      </c>
      <c r="I39" s="72"/>
      <c r="J39" s="72"/>
      <c r="K39" s="72"/>
      <c r="L39" s="72"/>
    </row>
    <row r="40" spans="2:12" ht="15.95" customHeight="1" x14ac:dyDescent="0.25">
      <c r="B40" s="73" t="s">
        <v>51</v>
      </c>
      <c r="C40" s="73"/>
      <c r="D40" s="73"/>
      <c r="E40" s="73"/>
      <c r="F40" s="76">
        <f>COUNTIFS('Bid Log'!U:U,"Schedule Conflict",'Bid Log'!Q:Q,"Lost")</f>
        <v>0</v>
      </c>
      <c r="G40" s="76"/>
      <c r="H40" s="74">
        <f>IFERROR(SUMIFS('Bid Log'!P:P,'Bid Log'!U:U,"Schedule Conflict",'Bid Log'!Q:Q,"Lost"),0)</f>
        <v>0</v>
      </c>
      <c r="I40" s="74"/>
      <c r="J40" s="74"/>
      <c r="K40" s="74"/>
      <c r="L40" s="74"/>
    </row>
    <row r="41" spans="2:12" ht="15.95" customHeight="1" x14ac:dyDescent="0.25">
      <c r="B41" s="71" t="s">
        <v>52</v>
      </c>
      <c r="C41" s="71"/>
      <c r="D41" s="71"/>
      <c r="E41" s="71"/>
      <c r="F41" s="75">
        <f>COUNTIFS('Bid Log'!U:U,"No Award",'Bid Log'!Q:Q,"Lost")</f>
        <v>0</v>
      </c>
      <c r="G41" s="75"/>
      <c r="H41" s="72">
        <f>IFERROR(SUMIFS('Bid Log'!P:P,'Bid Log'!U:U,"No Award",'Bid Log'!Q:Q,"Lost"),0)</f>
        <v>0</v>
      </c>
      <c r="I41" s="72"/>
      <c r="J41" s="72"/>
      <c r="K41" s="72"/>
      <c r="L41" s="72"/>
    </row>
    <row r="42" spans="2:12" ht="15.95" customHeight="1" x14ac:dyDescent="0.25">
      <c r="B42" s="73" t="s">
        <v>53</v>
      </c>
      <c r="C42" s="73"/>
      <c r="D42" s="73"/>
      <c r="E42" s="73"/>
      <c r="F42" s="76">
        <f>COUNTIFS('Bid Log'!U:U,"Withdrawn by Owner",'Bid Log'!Q:Q,"Lost")</f>
        <v>0</v>
      </c>
      <c r="G42" s="76"/>
      <c r="H42" s="74">
        <f>IFERROR(SUMIFS('Bid Log'!P:P,'Bid Log'!U:U,"Withdrawn by Owner",'Bid Log'!Q:Q,"Lost"),0)</f>
        <v>0</v>
      </c>
      <c r="I42" s="74"/>
      <c r="J42" s="74"/>
      <c r="K42" s="74"/>
      <c r="L42" s="74"/>
    </row>
    <row r="43" spans="2:12" ht="15.95" customHeight="1" x14ac:dyDescent="0.25">
      <c r="B43" s="71" t="s">
        <v>54</v>
      </c>
      <c r="C43" s="71"/>
      <c r="D43" s="71"/>
      <c r="E43" s="71"/>
      <c r="F43" s="75">
        <f>COUNTIFS('Bid Log'!U:U,"Competition Too Strong",'Bid Log'!Q:Q,"Lost")</f>
        <v>0</v>
      </c>
      <c r="G43" s="75"/>
      <c r="H43" s="72">
        <f>IFERROR(SUMIFS('Bid Log'!P:P,'Bid Log'!U:U,"Competition Too Strong",'Bid Log'!Q:Q,"Lost"),0)</f>
        <v>0</v>
      </c>
      <c r="I43" s="72"/>
      <c r="J43" s="72"/>
      <c r="K43" s="72"/>
      <c r="L43" s="72"/>
    </row>
    <row r="44" spans="2:12" ht="15.95" customHeight="1" x14ac:dyDescent="0.25">
      <c r="B44" s="73" t="s">
        <v>55</v>
      </c>
      <c r="C44" s="73"/>
      <c r="D44" s="73"/>
      <c r="E44" s="73"/>
      <c r="F44" s="76">
        <f>COUNTIFS('Bid Log'!U:U,"Not Qualified",'Bid Log'!Q:Q,"Lost")</f>
        <v>0</v>
      </c>
      <c r="G44" s="76"/>
      <c r="H44" s="74">
        <f>IFERROR(SUMIFS('Bid Log'!P:P,'Bid Log'!U:U,"Not Qualified",'Bid Log'!Q:Q,"Lost"),0)</f>
        <v>0</v>
      </c>
      <c r="I44" s="74"/>
      <c r="J44" s="74"/>
      <c r="K44" s="74"/>
      <c r="L44" s="74"/>
    </row>
    <row r="45" spans="2:12" ht="15.95" customHeight="1" x14ac:dyDescent="0.25">
      <c r="B45" s="71" t="s">
        <v>56</v>
      </c>
      <c r="C45" s="71"/>
      <c r="D45" s="71"/>
      <c r="E45" s="71"/>
      <c r="F45" s="75">
        <f>COUNTIFS('Bid Log'!U:U,"Other",'Bid Log'!Q:Q,"Lost")</f>
        <v>0</v>
      </c>
      <c r="G45" s="75"/>
      <c r="H45" s="72">
        <f>IFERROR(SUMIFS('Bid Log'!P:P,'Bid Log'!U:U,"Other",'Bid Log'!Q:Q,"Lost"),0)</f>
        <v>0</v>
      </c>
      <c r="I45" s="72"/>
      <c r="J45" s="72"/>
      <c r="K45" s="72"/>
      <c r="L45" s="72"/>
    </row>
  </sheetData>
  <mergeCells count="127">
    <mergeCell ref="B44:E44"/>
    <mergeCell ref="F44:G44"/>
    <mergeCell ref="H44:L44"/>
    <mergeCell ref="B45:E45"/>
    <mergeCell ref="F45:G45"/>
    <mergeCell ref="H45:L45"/>
    <mergeCell ref="K28:L28"/>
    <mergeCell ref="K29:L29"/>
    <mergeCell ref="K30:L30"/>
    <mergeCell ref="K31:L31"/>
    <mergeCell ref="K32:L32"/>
    <mergeCell ref="K33:L33"/>
    <mergeCell ref="B41:E41"/>
    <mergeCell ref="F41:G41"/>
    <mergeCell ref="H41:L41"/>
    <mergeCell ref="B42:E42"/>
    <mergeCell ref="F42:G42"/>
    <mergeCell ref="H42:L42"/>
    <mergeCell ref="B43:E43"/>
    <mergeCell ref="F43:G43"/>
    <mergeCell ref="H43:L43"/>
    <mergeCell ref="B38:E38"/>
    <mergeCell ref="F38:G38"/>
    <mergeCell ref="H38:L38"/>
    <mergeCell ref="B39:E39"/>
    <mergeCell ref="F39:G39"/>
    <mergeCell ref="H39:L39"/>
    <mergeCell ref="B40:E40"/>
    <mergeCell ref="F40:G40"/>
    <mergeCell ref="H40:L40"/>
    <mergeCell ref="B33:C33"/>
    <mergeCell ref="E33:F33"/>
    <mergeCell ref="H33:I33"/>
    <mergeCell ref="B35:L35"/>
    <mergeCell ref="B36:E36"/>
    <mergeCell ref="F36:G36"/>
    <mergeCell ref="H36:L36"/>
    <mergeCell ref="B37:E37"/>
    <mergeCell ref="F37:G37"/>
    <mergeCell ref="H37:L37"/>
    <mergeCell ref="B30:C30"/>
    <mergeCell ref="E30:F30"/>
    <mergeCell ref="H30:I30"/>
    <mergeCell ref="B31:C31"/>
    <mergeCell ref="E31:F31"/>
    <mergeCell ref="H31:I31"/>
    <mergeCell ref="B32:C32"/>
    <mergeCell ref="E32:F32"/>
    <mergeCell ref="H32:I32"/>
    <mergeCell ref="B25:D25"/>
    <mergeCell ref="F25:G25"/>
    <mergeCell ref="J25:K25"/>
    <mergeCell ref="B27:L27"/>
    <mergeCell ref="B28:C28"/>
    <mergeCell ref="E28:F28"/>
    <mergeCell ref="H28:I28"/>
    <mergeCell ref="B29:C29"/>
    <mergeCell ref="E29:F29"/>
    <mergeCell ref="H29:I29"/>
    <mergeCell ref="B22:D22"/>
    <mergeCell ref="F22:G22"/>
    <mergeCell ref="J22:K22"/>
    <mergeCell ref="B23:D23"/>
    <mergeCell ref="F23:G23"/>
    <mergeCell ref="J23:K23"/>
    <mergeCell ref="B24:D24"/>
    <mergeCell ref="F24:G24"/>
    <mergeCell ref="J24:K24"/>
    <mergeCell ref="B19:D19"/>
    <mergeCell ref="F19:G19"/>
    <mergeCell ref="J19:K19"/>
    <mergeCell ref="B20:D20"/>
    <mergeCell ref="F20:G20"/>
    <mergeCell ref="J20:K20"/>
    <mergeCell ref="B21:D21"/>
    <mergeCell ref="F21:G21"/>
    <mergeCell ref="J21:K21"/>
    <mergeCell ref="B16:D16"/>
    <mergeCell ref="F16:G16"/>
    <mergeCell ref="J16:K16"/>
    <mergeCell ref="B17:D17"/>
    <mergeCell ref="F17:G17"/>
    <mergeCell ref="J17:K17"/>
    <mergeCell ref="B18:D18"/>
    <mergeCell ref="F18:G18"/>
    <mergeCell ref="J18:K18"/>
    <mergeCell ref="B13:D13"/>
    <mergeCell ref="F13:G13"/>
    <mergeCell ref="J13:K13"/>
    <mergeCell ref="B14:D14"/>
    <mergeCell ref="F14:G14"/>
    <mergeCell ref="J14:K14"/>
    <mergeCell ref="B15:D15"/>
    <mergeCell ref="F15:G15"/>
    <mergeCell ref="J15:K15"/>
    <mergeCell ref="B9:L9"/>
    <mergeCell ref="B10:D10"/>
    <mergeCell ref="F10:G10"/>
    <mergeCell ref="J10:K10"/>
    <mergeCell ref="B11:D11"/>
    <mergeCell ref="F11:G11"/>
    <mergeCell ref="J11:K11"/>
    <mergeCell ref="B12:D12"/>
    <mergeCell ref="F12:G12"/>
    <mergeCell ref="J12:K12"/>
    <mergeCell ref="B6:C6"/>
    <mergeCell ref="D6:E6"/>
    <mergeCell ref="F6:G6"/>
    <mergeCell ref="H6:I6"/>
    <mergeCell ref="J6:L6"/>
    <mergeCell ref="B7:C7"/>
    <mergeCell ref="D7:E7"/>
    <mergeCell ref="F7:G7"/>
    <mergeCell ref="H7:I7"/>
    <mergeCell ref="J7:L7"/>
    <mergeCell ref="B1:L1"/>
    <mergeCell ref="B2:L2"/>
    <mergeCell ref="B3:C3"/>
    <mergeCell ref="D3:E3"/>
    <mergeCell ref="F3:G3"/>
    <mergeCell ref="H3:I3"/>
    <mergeCell ref="J3:L3"/>
    <mergeCell ref="B4:C4"/>
    <mergeCell ref="D4:E4"/>
    <mergeCell ref="F4:G4"/>
    <mergeCell ref="H4:I4"/>
    <mergeCell ref="J4:L4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75B6"/>
  </sheetPr>
  <dimension ref="A1:AF74"/>
  <sheetViews>
    <sheetView tabSelected="1" workbookViewId="0">
      <pane xSplit="1" ySplit="1" topLeftCell="B2" activePane="bottomRight" state="frozen"/>
      <selection pane="topRight"/>
      <selection pane="bottomLeft"/>
      <selection pane="bottomRight" activeCell="D3" sqref="D3"/>
    </sheetView>
  </sheetViews>
  <sheetFormatPr defaultRowHeight="15" x14ac:dyDescent="0.25"/>
  <cols>
    <col min="1" max="1" width="13.7109375" customWidth="1"/>
    <col min="2" max="2" width="32" customWidth="1"/>
    <col min="3" max="3" width="24" customWidth="1"/>
    <col min="4" max="4" width="20" customWidth="1"/>
    <col min="5" max="5" width="18" customWidth="1"/>
    <col min="6" max="6" width="20" customWidth="1"/>
    <col min="7" max="7" width="14" customWidth="1"/>
    <col min="8" max="10" width="16" customWidth="1"/>
    <col min="11" max="13" width="14" customWidth="1"/>
    <col min="14" max="18" width="16" customWidth="1"/>
    <col min="19" max="19" width="22" customWidth="1"/>
    <col min="20" max="20" width="16" customWidth="1"/>
    <col min="21" max="22" width="18" customWidth="1"/>
    <col min="23" max="23" width="14" customWidth="1"/>
    <col min="24" max="24" width="17" customWidth="1"/>
    <col min="25" max="25" width="18" customWidth="1"/>
    <col min="26" max="26" width="16" customWidth="1"/>
    <col min="27" max="27" width="38" customWidth="1"/>
    <col min="28" max="30" width="14" customWidth="1"/>
    <col min="31" max="31" width="16" customWidth="1"/>
    <col min="32" max="32" width="44" customWidth="1"/>
  </cols>
  <sheetData>
    <row r="1" spans="1:32" ht="39.950000000000003" customHeight="1" x14ac:dyDescent="0.25">
      <c r="A1" s="10" t="s">
        <v>57</v>
      </c>
      <c r="B1" s="10" t="s">
        <v>58</v>
      </c>
      <c r="C1" s="10" t="s">
        <v>59</v>
      </c>
      <c r="D1" s="10" t="s">
        <v>60</v>
      </c>
      <c r="E1" s="10" t="s">
        <v>12</v>
      </c>
      <c r="F1" s="10" t="s">
        <v>61</v>
      </c>
      <c r="G1" s="10" t="s">
        <v>62</v>
      </c>
      <c r="H1" s="10" t="s">
        <v>63</v>
      </c>
      <c r="I1" s="10" t="s">
        <v>35</v>
      </c>
      <c r="J1" s="10" t="s">
        <v>64</v>
      </c>
      <c r="K1" s="10" t="s">
        <v>65</v>
      </c>
      <c r="L1" s="10" t="s">
        <v>66</v>
      </c>
      <c r="M1" s="10" t="s">
        <v>67</v>
      </c>
      <c r="N1" s="10" t="s">
        <v>68</v>
      </c>
      <c r="O1" s="10" t="s">
        <v>69</v>
      </c>
      <c r="P1" s="10" t="s">
        <v>70</v>
      </c>
      <c r="Q1" s="10" t="s">
        <v>71</v>
      </c>
      <c r="R1" s="10" t="s">
        <v>72</v>
      </c>
      <c r="S1" s="10" t="s">
        <v>73</v>
      </c>
      <c r="T1" s="10" t="s">
        <v>74</v>
      </c>
      <c r="U1" s="10" t="s">
        <v>46</v>
      </c>
      <c r="V1" s="10" t="s">
        <v>75</v>
      </c>
      <c r="W1" s="10" t="s">
        <v>76</v>
      </c>
      <c r="X1" s="10" t="s">
        <v>77</v>
      </c>
      <c r="Y1" s="10" t="s">
        <v>78</v>
      </c>
      <c r="Z1" s="10" t="s">
        <v>79</v>
      </c>
      <c r="AA1" s="10" t="s">
        <v>80</v>
      </c>
      <c r="AB1" s="10" t="s">
        <v>81</v>
      </c>
      <c r="AC1" s="10" t="s">
        <v>82</v>
      </c>
      <c r="AD1" s="10" t="s">
        <v>83</v>
      </c>
      <c r="AE1" s="10" t="s">
        <v>84</v>
      </c>
      <c r="AF1" s="10" t="s">
        <v>85</v>
      </c>
    </row>
    <row r="2" spans="1:32" ht="18" customHeight="1" x14ac:dyDescent="0.25">
      <c r="A2" s="11" t="s">
        <v>86</v>
      </c>
      <c r="B2" s="11" t="s">
        <v>87</v>
      </c>
      <c r="C2" s="11" t="s">
        <v>88</v>
      </c>
      <c r="D2" s="11" t="s">
        <v>89</v>
      </c>
      <c r="E2" s="11" t="s">
        <v>29</v>
      </c>
      <c r="F2" s="11" t="s">
        <v>90</v>
      </c>
      <c r="G2" s="11" t="s">
        <v>91</v>
      </c>
      <c r="H2" s="11" t="s">
        <v>91</v>
      </c>
      <c r="I2" s="11" t="s">
        <v>40</v>
      </c>
      <c r="J2" s="11" t="s">
        <v>92</v>
      </c>
      <c r="K2" s="12">
        <v>46028.291666666672</v>
      </c>
      <c r="L2" s="12"/>
      <c r="M2" s="12"/>
      <c r="N2" s="13">
        <v>159751</v>
      </c>
      <c r="O2" s="13">
        <v>59515</v>
      </c>
      <c r="P2" s="14">
        <f t="shared" ref="P2:P33" si="0">IFERROR(IF(AND(N2="",O2=""),"",IFERROR(N2,0)+IFERROR(O2,0)),"")</f>
        <v>219266</v>
      </c>
      <c r="Q2" s="11" t="s">
        <v>93</v>
      </c>
      <c r="R2" s="13"/>
      <c r="S2" s="11"/>
      <c r="T2" s="13"/>
      <c r="U2" s="11"/>
      <c r="V2" s="12"/>
      <c r="W2" s="15">
        <v>0.5</v>
      </c>
      <c r="X2" s="12"/>
      <c r="Y2" s="11"/>
      <c r="Z2" s="12"/>
      <c r="AA2" s="16" t="s">
        <v>94</v>
      </c>
      <c r="AB2" s="17">
        <f>IFERROR(VLOOKUP(A2,'Go-No-Go'!$A:$M,12,0),"")</f>
        <v>32</v>
      </c>
      <c r="AC2" s="18" t="str">
        <f>IFERROR(VLOOKUP(A2,'Go-No-Go'!$A:$N,14,0),"")</f>
        <v>Go</v>
      </c>
      <c r="AD2" s="19">
        <f t="shared" ref="AD2:AD33" ca="1" si="1">IF(OR(Q2="Bid Submitted",Q2="Budget Submitted",Q2="ROM Submitted",Q2="In Progress"),IF(M2&lt;&gt;"",TODAY()-M2,IF(K2&lt;&gt;"",TODAY()-K2,"")),"")</f>
        <v>126.70833333332848</v>
      </c>
      <c r="AE2" s="20" t="str">
        <f t="shared" ref="AE2:AE33" ca="1" si="2">IF(AND(OR(Q2="Bid Submitted",Q2="Budget Submitted",Q2="ROM Submitted"),X2&lt;&gt;"",X2&lt;TODAY()),"OVERDUE",IF(AND(OR(Q2="Bid Submitted",Q2="Budget Submitted",Q2="ROM Submitted"),X2&lt;&gt;"",X2&lt;=TODAY()+3),"DUE SOON",IF(AND(OR(Q2="Bid Submitted",Q2="Budget Submitted",Q2="ROM Submitted"),X2=""),"MISSING","OK")))</f>
        <v>MISSING</v>
      </c>
      <c r="AF2" s="21" t="str">
        <f t="shared" ref="AF2:AF33" ca="1" si="3">IF(TRIM(IF(B2="","[Missing Project Name] ","")&amp;IF(C2="","[Missing GC] ","")&amp;IF(I2="","[Missing Plumb Estimator] ","")&amp;IF(AND(Q2&lt;&gt;"In Progress",Q2&lt;&gt;"No Bid",Q2&lt;&gt;"On Hold",P2=""),"[Missing Bid Amount] ","")&amp;IF(AND(Q2="Awarded",R2=""),"[Awarded-No Award Amount] ","")&amp;IF(AND(Q2="Lost",U2=""),"[Lost-No Lost Reason] ","")&amp;IF(AND(OR(Q2="Bid Submitted",Q2="Budget Submitted"),X2=""),"[Pending-No Follow-Up Date] ","")&amp;IF(AND(OR(Q2="Bid Submitted",Q2="Budget Submitted"),Y2=""),"[Pending-No Follow-Up Owner] ","")&amp;IF(AND(L2&lt;&gt;"",L2&lt;TODAY(),OR(Q2="In Progress",Q2="")),"[Bid Due Date Passed] ",""))="","OK",TRIM(IF(B2="","[Missing Project Name] ","")&amp;IF(C2="","[Missing GC] ","")&amp;IF(I2="","[Missing Plumb Estimator] ","")&amp;IF(AND(Q2&lt;&gt;"In Progress",Q2&lt;&gt;"No Bid",Q2&lt;&gt;"On Hold",P2=""),"[Missing Bid Amount] ","")&amp;IF(AND(Q2="Awarded",R2=""),"[Awarded-No Award Amount] ","")&amp;IF(AND(Q2="Lost",U2=""),"[Lost-No Lost Reason] ","")&amp;IF(AND(OR(Q2="Bid Submitted",Q2="Budget Submitted"),X2=""),"[Pending-No Follow-Up Date] ","")&amp;IF(AND(OR(Q2="Bid Submitted",Q2="Budget Submitted"),Y2=""),"[Pending-No Follow-Up Owner] ","")&amp;IF(AND(L2&lt;&gt;"",L2&lt;TODAY(),OR(Q2="In Progress",Q2="")),"[Bid Due Date Passed] ","")))</f>
        <v>[Pending-No Follow-Up Date] [Pending-No Follow-Up Owner]</v>
      </c>
    </row>
    <row r="3" spans="1:32" ht="18" customHeight="1" x14ac:dyDescent="0.25">
      <c r="A3" s="22" t="s">
        <v>95</v>
      </c>
      <c r="B3" s="22" t="s">
        <v>96</v>
      </c>
      <c r="C3" s="22" t="s">
        <v>97</v>
      </c>
      <c r="D3" s="22" t="s">
        <v>89</v>
      </c>
      <c r="E3" s="22" t="s">
        <v>27</v>
      </c>
      <c r="F3" s="22" t="s">
        <v>90</v>
      </c>
      <c r="G3" s="22" t="s">
        <v>91</v>
      </c>
      <c r="H3" s="22" t="s">
        <v>91</v>
      </c>
      <c r="I3" s="22" t="s">
        <v>40</v>
      </c>
      <c r="J3" s="22" t="s">
        <v>92</v>
      </c>
      <c r="K3" s="23">
        <v>46031.291666666672</v>
      </c>
      <c r="L3" s="23"/>
      <c r="M3" s="23"/>
      <c r="N3" s="24">
        <v>1271316</v>
      </c>
      <c r="O3" s="24">
        <v>1278337</v>
      </c>
      <c r="P3" s="25">
        <f t="shared" si="0"/>
        <v>2549653</v>
      </c>
      <c r="Q3" s="22" t="s">
        <v>93</v>
      </c>
      <c r="R3" s="24"/>
      <c r="S3" s="22"/>
      <c r="T3" s="24"/>
      <c r="U3" s="22"/>
      <c r="V3" s="23"/>
      <c r="W3" s="26">
        <v>0.5</v>
      </c>
      <c r="X3" s="23"/>
      <c r="Y3" s="22"/>
      <c r="Z3" s="23"/>
      <c r="AA3" s="27" t="s">
        <v>98</v>
      </c>
      <c r="AB3" s="28" t="str">
        <f>IFERROR(VLOOKUP(A3,'Go-No-Go'!$A:$M,12,0),"")</f>
        <v/>
      </c>
      <c r="AC3" s="29" t="str">
        <f>IFERROR(VLOOKUP(A3,'Go-No-Go'!$A:$N,14,0),"")</f>
        <v/>
      </c>
      <c r="AD3" s="30">
        <f t="shared" ca="1" si="1"/>
        <v>123.70833333332848</v>
      </c>
      <c r="AE3" s="31" t="str">
        <f t="shared" ca="1" si="2"/>
        <v>MISSING</v>
      </c>
      <c r="AF3" s="32" t="str">
        <f t="shared" ca="1" si="3"/>
        <v>[Pending-No Follow-Up Date] [Pending-No Follow-Up Owner]</v>
      </c>
    </row>
    <row r="4" spans="1:32" ht="18" customHeight="1" x14ac:dyDescent="0.25">
      <c r="A4" s="11" t="s">
        <v>99</v>
      </c>
      <c r="B4" s="11" t="s">
        <v>100</v>
      </c>
      <c r="C4" s="11" t="s">
        <v>101</v>
      </c>
      <c r="D4" s="11" t="s">
        <v>89</v>
      </c>
      <c r="E4" s="11" t="s">
        <v>24</v>
      </c>
      <c r="F4" s="11" t="s">
        <v>90</v>
      </c>
      <c r="G4" s="11" t="s">
        <v>91</v>
      </c>
      <c r="H4" s="11" t="s">
        <v>91</v>
      </c>
      <c r="I4" s="11" t="s">
        <v>40</v>
      </c>
      <c r="J4" s="11" t="s">
        <v>92</v>
      </c>
      <c r="K4" s="12">
        <v>46035.291666666672</v>
      </c>
      <c r="L4" s="12"/>
      <c r="M4" s="12"/>
      <c r="N4" s="13">
        <v>1469827</v>
      </c>
      <c r="O4" s="13">
        <v>809252</v>
      </c>
      <c r="P4" s="14">
        <f t="shared" si="0"/>
        <v>2279079</v>
      </c>
      <c r="Q4" s="11" t="s">
        <v>39</v>
      </c>
      <c r="R4" s="13"/>
      <c r="S4" s="11"/>
      <c r="T4" s="13">
        <v>1972079</v>
      </c>
      <c r="U4" s="11"/>
      <c r="V4" s="12"/>
      <c r="W4" s="15">
        <v>0</v>
      </c>
      <c r="X4" s="12"/>
      <c r="Y4" s="11"/>
      <c r="Z4" s="12">
        <v>46147.25</v>
      </c>
      <c r="AA4" s="16" t="s">
        <v>102</v>
      </c>
      <c r="AB4" s="17">
        <f>IFERROR(VLOOKUP(A4,'Go-No-Go'!$A:$M,12,0),"")</f>
        <v>30</v>
      </c>
      <c r="AC4" s="18" t="str">
        <f>IFERROR(VLOOKUP(A4,'Go-No-Go'!$A:$N,14,0),"")</f>
        <v>Go</v>
      </c>
      <c r="AD4" s="19" t="str">
        <f t="shared" ca="1" si="1"/>
        <v/>
      </c>
      <c r="AE4" s="20" t="str">
        <f t="shared" ca="1" si="2"/>
        <v>OK</v>
      </c>
      <c r="AF4" s="21" t="str">
        <f t="shared" ca="1" si="3"/>
        <v>[Lost-No Lost Reason]</v>
      </c>
    </row>
    <row r="5" spans="1:32" ht="18" customHeight="1" x14ac:dyDescent="0.25">
      <c r="A5" s="22" t="s">
        <v>103</v>
      </c>
      <c r="B5" s="22" t="s">
        <v>104</v>
      </c>
      <c r="C5" s="22" t="s">
        <v>105</v>
      </c>
      <c r="D5" s="22" t="s">
        <v>106</v>
      </c>
      <c r="E5" s="22" t="s">
        <v>28</v>
      </c>
      <c r="F5" s="22" t="s">
        <v>90</v>
      </c>
      <c r="G5" s="22" t="s">
        <v>91</v>
      </c>
      <c r="H5" s="22" t="s">
        <v>91</v>
      </c>
      <c r="I5" s="22" t="s">
        <v>40</v>
      </c>
      <c r="J5" s="22" t="s">
        <v>92</v>
      </c>
      <c r="K5" s="23">
        <v>46037.291666666672</v>
      </c>
      <c r="L5" s="23"/>
      <c r="M5" s="23"/>
      <c r="N5" s="24">
        <v>223680</v>
      </c>
      <c r="O5" s="24">
        <v>92569</v>
      </c>
      <c r="P5" s="25">
        <f t="shared" si="0"/>
        <v>316249</v>
      </c>
      <c r="Q5" s="22" t="s">
        <v>93</v>
      </c>
      <c r="R5" s="24"/>
      <c r="S5" s="22"/>
      <c r="T5" s="24"/>
      <c r="U5" s="22"/>
      <c r="V5" s="23"/>
      <c r="W5" s="26">
        <v>0.5</v>
      </c>
      <c r="X5" s="23"/>
      <c r="Y5" s="22"/>
      <c r="Z5" s="23"/>
      <c r="AA5" s="27" t="s">
        <v>107</v>
      </c>
      <c r="AB5" s="28" t="str">
        <f>IFERROR(VLOOKUP(A5,'Go-No-Go'!$A:$M,12,0),"")</f>
        <v/>
      </c>
      <c r="AC5" s="29" t="str">
        <f>IFERROR(VLOOKUP(A5,'Go-No-Go'!$A:$N,14,0),"")</f>
        <v/>
      </c>
      <c r="AD5" s="30">
        <f t="shared" ca="1" si="1"/>
        <v>117.70833333332848</v>
      </c>
      <c r="AE5" s="31" t="str">
        <f t="shared" ca="1" si="2"/>
        <v>MISSING</v>
      </c>
      <c r="AF5" s="32" t="str">
        <f t="shared" ca="1" si="3"/>
        <v>[Pending-No Follow-Up Date] [Pending-No Follow-Up Owner]</v>
      </c>
    </row>
    <row r="6" spans="1:32" ht="18" customHeight="1" x14ac:dyDescent="0.25">
      <c r="A6" s="11" t="s">
        <v>108</v>
      </c>
      <c r="B6" s="11" t="s">
        <v>109</v>
      </c>
      <c r="C6" s="11" t="s">
        <v>110</v>
      </c>
      <c r="D6" s="11" t="s">
        <v>89</v>
      </c>
      <c r="E6" s="11" t="s">
        <v>27</v>
      </c>
      <c r="F6" s="11" t="s">
        <v>90</v>
      </c>
      <c r="G6" s="11" t="s">
        <v>91</v>
      </c>
      <c r="H6" s="11" t="s">
        <v>91</v>
      </c>
      <c r="I6" s="11" t="s">
        <v>40</v>
      </c>
      <c r="J6" s="11" t="s">
        <v>92</v>
      </c>
      <c r="K6" s="12">
        <v>46043.291666666672</v>
      </c>
      <c r="L6" s="12"/>
      <c r="M6" s="12"/>
      <c r="N6" s="13">
        <v>390920</v>
      </c>
      <c r="O6" s="13">
        <v>340868</v>
      </c>
      <c r="P6" s="14">
        <f t="shared" si="0"/>
        <v>731788</v>
      </c>
      <c r="Q6" s="11" t="s">
        <v>93</v>
      </c>
      <c r="R6" s="13"/>
      <c r="S6" s="11"/>
      <c r="T6" s="13"/>
      <c r="U6" s="11"/>
      <c r="V6" s="12"/>
      <c r="W6" s="15">
        <v>0.5</v>
      </c>
      <c r="X6" s="12"/>
      <c r="Y6" s="11"/>
      <c r="Z6" s="12"/>
      <c r="AA6" s="16" t="s">
        <v>89</v>
      </c>
      <c r="AB6" s="17">
        <f>IFERROR(VLOOKUP(A6,'Go-No-Go'!$A:$M,12,0),"")</f>
        <v>36</v>
      </c>
      <c r="AC6" s="18" t="str">
        <f>IFERROR(VLOOKUP(A6,'Go-No-Go'!$A:$N,14,0),"")</f>
        <v>Go</v>
      </c>
      <c r="AD6" s="19">
        <f t="shared" ca="1" si="1"/>
        <v>111.70833333332848</v>
      </c>
      <c r="AE6" s="20" t="str">
        <f t="shared" ca="1" si="2"/>
        <v>MISSING</v>
      </c>
      <c r="AF6" s="21" t="str">
        <f t="shared" ca="1" si="3"/>
        <v>[Pending-No Follow-Up Date] [Pending-No Follow-Up Owner]</v>
      </c>
    </row>
    <row r="7" spans="1:32" ht="18" customHeight="1" x14ac:dyDescent="0.25">
      <c r="A7" s="22" t="s">
        <v>111</v>
      </c>
      <c r="B7" s="22" t="s">
        <v>112</v>
      </c>
      <c r="C7" s="22" t="s">
        <v>113</v>
      </c>
      <c r="D7" s="22" t="s">
        <v>89</v>
      </c>
      <c r="E7" s="22" t="s">
        <v>27</v>
      </c>
      <c r="F7" s="22" t="s">
        <v>90</v>
      </c>
      <c r="G7" s="22" t="s">
        <v>91</v>
      </c>
      <c r="H7" s="22" t="s">
        <v>91</v>
      </c>
      <c r="I7" s="22" t="s">
        <v>40</v>
      </c>
      <c r="J7" s="22" t="s">
        <v>92</v>
      </c>
      <c r="K7" s="23">
        <v>46043.291666666672</v>
      </c>
      <c r="L7" s="23"/>
      <c r="M7" s="23"/>
      <c r="N7" s="24">
        <v>1330294</v>
      </c>
      <c r="O7" s="24">
        <v>880986</v>
      </c>
      <c r="P7" s="25">
        <f t="shared" si="0"/>
        <v>2211280</v>
      </c>
      <c r="Q7" s="22" t="s">
        <v>93</v>
      </c>
      <c r="R7" s="24"/>
      <c r="S7" s="22"/>
      <c r="T7" s="24"/>
      <c r="U7" s="22"/>
      <c r="V7" s="23"/>
      <c r="W7" s="26">
        <v>0.5</v>
      </c>
      <c r="X7" s="23"/>
      <c r="Y7" s="22"/>
      <c r="Z7" s="23"/>
      <c r="AA7" s="27" t="s">
        <v>114</v>
      </c>
      <c r="AB7" s="28" t="str">
        <f>IFERROR(VLOOKUP(A7,'Go-No-Go'!$A:$M,12,0),"")</f>
        <v/>
      </c>
      <c r="AC7" s="29" t="str">
        <f>IFERROR(VLOOKUP(A7,'Go-No-Go'!$A:$N,14,0),"")</f>
        <v/>
      </c>
      <c r="AD7" s="30">
        <f t="shared" ca="1" si="1"/>
        <v>111.70833333332848</v>
      </c>
      <c r="AE7" s="31" t="str">
        <f t="shared" ca="1" si="2"/>
        <v>MISSING</v>
      </c>
      <c r="AF7" s="32" t="str">
        <f t="shared" ca="1" si="3"/>
        <v>[Pending-No Follow-Up Date] [Pending-No Follow-Up Owner]</v>
      </c>
    </row>
    <row r="8" spans="1:32" ht="18" customHeight="1" x14ac:dyDescent="0.25">
      <c r="A8" s="11" t="s">
        <v>115</v>
      </c>
      <c r="B8" s="11" t="s">
        <v>116</v>
      </c>
      <c r="C8" s="11" t="s">
        <v>117</v>
      </c>
      <c r="D8" s="11" t="s">
        <v>118</v>
      </c>
      <c r="E8" s="11" t="s">
        <v>27</v>
      </c>
      <c r="F8" s="11" t="s">
        <v>90</v>
      </c>
      <c r="G8" s="11" t="s">
        <v>91</v>
      </c>
      <c r="H8" s="11" t="s">
        <v>91</v>
      </c>
      <c r="I8" s="11" t="s">
        <v>40</v>
      </c>
      <c r="J8" s="11" t="s">
        <v>92</v>
      </c>
      <c r="K8" s="12">
        <v>46044.291666666672</v>
      </c>
      <c r="L8" s="12"/>
      <c r="M8" s="12"/>
      <c r="N8" s="13">
        <v>6376876</v>
      </c>
      <c r="O8" s="13">
        <v>6874008</v>
      </c>
      <c r="P8" s="14">
        <f t="shared" si="0"/>
        <v>13250884</v>
      </c>
      <c r="Q8" s="11" t="s">
        <v>93</v>
      </c>
      <c r="R8" s="13"/>
      <c r="S8" s="11"/>
      <c r="T8" s="13"/>
      <c r="U8" s="11"/>
      <c r="V8" s="12"/>
      <c r="W8" s="15">
        <v>0.5</v>
      </c>
      <c r="X8" s="12"/>
      <c r="Y8" s="11"/>
      <c r="Z8" s="12"/>
      <c r="AA8" s="16" t="s">
        <v>119</v>
      </c>
      <c r="AB8" s="17">
        <f>IFERROR(VLOOKUP(A8,'Go-No-Go'!$A:$M,12,0),"")</f>
        <v>26</v>
      </c>
      <c r="AC8" s="18" t="str">
        <f>IFERROR(VLOOKUP(A8,'Go-No-Go'!$A:$N,14,0),"")</f>
        <v>Review</v>
      </c>
      <c r="AD8" s="19">
        <f t="shared" ca="1" si="1"/>
        <v>110.70833333332848</v>
      </c>
      <c r="AE8" s="20" t="str">
        <f t="shared" ca="1" si="2"/>
        <v>MISSING</v>
      </c>
      <c r="AF8" s="21" t="str">
        <f t="shared" ca="1" si="3"/>
        <v>[Pending-No Follow-Up Date] [Pending-No Follow-Up Owner]</v>
      </c>
    </row>
    <row r="9" spans="1:32" ht="18" customHeight="1" x14ac:dyDescent="0.25">
      <c r="A9" s="22" t="s">
        <v>120</v>
      </c>
      <c r="B9" s="22" t="s">
        <v>121</v>
      </c>
      <c r="C9" s="22" t="s">
        <v>97</v>
      </c>
      <c r="D9" s="22" t="s">
        <v>89</v>
      </c>
      <c r="E9" s="22" t="s">
        <v>27</v>
      </c>
      <c r="F9" s="22" t="s">
        <v>90</v>
      </c>
      <c r="G9" s="22" t="s">
        <v>91</v>
      </c>
      <c r="H9" s="22" t="s">
        <v>91</v>
      </c>
      <c r="I9" s="22" t="s">
        <v>40</v>
      </c>
      <c r="J9" s="22" t="s">
        <v>92</v>
      </c>
      <c r="K9" s="23">
        <v>46058.291666666672</v>
      </c>
      <c r="L9" s="23"/>
      <c r="M9" s="23"/>
      <c r="N9" s="24">
        <v>5398931</v>
      </c>
      <c r="O9" s="24">
        <v>4298204</v>
      </c>
      <c r="P9" s="25">
        <f t="shared" si="0"/>
        <v>9697135</v>
      </c>
      <c r="Q9" s="22" t="s">
        <v>93</v>
      </c>
      <c r="R9" s="24"/>
      <c r="S9" s="22"/>
      <c r="T9" s="24"/>
      <c r="U9" s="22"/>
      <c r="V9" s="23"/>
      <c r="W9" s="26">
        <v>0.5</v>
      </c>
      <c r="X9" s="23"/>
      <c r="Y9" s="22"/>
      <c r="Z9" s="23"/>
      <c r="AA9" s="27" t="s">
        <v>122</v>
      </c>
      <c r="AB9" s="28" t="str">
        <f>IFERROR(VLOOKUP(A9,'Go-No-Go'!$A:$M,12,0),"")</f>
        <v/>
      </c>
      <c r="AC9" s="29" t="str">
        <f>IFERROR(VLOOKUP(A9,'Go-No-Go'!$A:$N,14,0),"")</f>
        <v/>
      </c>
      <c r="AD9" s="30">
        <f t="shared" ca="1" si="1"/>
        <v>96.708333333328483</v>
      </c>
      <c r="AE9" s="31" t="str">
        <f t="shared" ca="1" si="2"/>
        <v>MISSING</v>
      </c>
      <c r="AF9" s="32" t="str">
        <f t="shared" ca="1" si="3"/>
        <v>[Pending-No Follow-Up Date] [Pending-No Follow-Up Owner]</v>
      </c>
    </row>
    <row r="10" spans="1:32" ht="18" customHeight="1" x14ac:dyDescent="0.25">
      <c r="A10" s="11" t="s">
        <v>123</v>
      </c>
      <c r="B10" s="11" t="s">
        <v>124</v>
      </c>
      <c r="C10" s="11" t="s">
        <v>125</v>
      </c>
      <c r="D10" s="11" t="s">
        <v>89</v>
      </c>
      <c r="E10" s="11" t="s">
        <v>28</v>
      </c>
      <c r="F10" s="11" t="s">
        <v>90</v>
      </c>
      <c r="G10" s="11" t="s">
        <v>91</v>
      </c>
      <c r="H10" s="11" t="s">
        <v>91</v>
      </c>
      <c r="I10" s="11" t="s">
        <v>40</v>
      </c>
      <c r="J10" s="11" t="s">
        <v>92</v>
      </c>
      <c r="K10" s="12">
        <v>46050.291666666672</v>
      </c>
      <c r="L10" s="12"/>
      <c r="M10" s="12"/>
      <c r="N10" s="13">
        <v>43556</v>
      </c>
      <c r="O10" s="13">
        <v>80889</v>
      </c>
      <c r="P10" s="14">
        <f t="shared" si="0"/>
        <v>124445</v>
      </c>
      <c r="Q10" s="11" t="s">
        <v>93</v>
      </c>
      <c r="R10" s="13"/>
      <c r="S10" s="11"/>
      <c r="T10" s="13"/>
      <c r="U10" s="11"/>
      <c r="V10" s="12"/>
      <c r="W10" s="15">
        <v>0.5</v>
      </c>
      <c r="X10" s="12"/>
      <c r="Y10" s="11"/>
      <c r="Z10" s="12"/>
      <c r="AA10" s="16" t="s">
        <v>89</v>
      </c>
      <c r="AB10" s="17">
        <f>IFERROR(VLOOKUP(A10,'Go-No-Go'!$A:$M,12,0),"")</f>
        <v>29</v>
      </c>
      <c r="AC10" s="18" t="str">
        <f>IFERROR(VLOOKUP(A10,'Go-No-Go'!$A:$N,14,0),"")</f>
        <v>Go</v>
      </c>
      <c r="AD10" s="19">
        <f t="shared" ca="1" si="1"/>
        <v>104.70833333332848</v>
      </c>
      <c r="AE10" s="20" t="str">
        <f t="shared" ca="1" si="2"/>
        <v>MISSING</v>
      </c>
      <c r="AF10" s="21" t="str">
        <f t="shared" ca="1" si="3"/>
        <v>[Pending-No Follow-Up Date] [Pending-No Follow-Up Owner]</v>
      </c>
    </row>
    <row r="11" spans="1:32" ht="18" customHeight="1" x14ac:dyDescent="0.25">
      <c r="A11" s="22" t="s">
        <v>126</v>
      </c>
      <c r="B11" s="22" t="s">
        <v>127</v>
      </c>
      <c r="C11" s="22" t="s">
        <v>117</v>
      </c>
      <c r="D11" s="22" t="s">
        <v>89</v>
      </c>
      <c r="E11" s="22" t="s">
        <v>27</v>
      </c>
      <c r="F11" s="22" t="s">
        <v>90</v>
      </c>
      <c r="G11" s="22" t="s">
        <v>91</v>
      </c>
      <c r="H11" s="22" t="s">
        <v>91</v>
      </c>
      <c r="I11" s="22" t="s">
        <v>40</v>
      </c>
      <c r="J11" s="22" t="s">
        <v>92</v>
      </c>
      <c r="K11" s="23">
        <v>46056.291666666672</v>
      </c>
      <c r="L11" s="23"/>
      <c r="M11" s="23"/>
      <c r="N11" s="24">
        <v>3166896</v>
      </c>
      <c r="O11" s="24">
        <v>3511430</v>
      </c>
      <c r="P11" s="25">
        <f t="shared" si="0"/>
        <v>6678326</v>
      </c>
      <c r="Q11" s="22" t="s">
        <v>93</v>
      </c>
      <c r="R11" s="24"/>
      <c r="S11" s="22"/>
      <c r="T11" s="24"/>
      <c r="U11" s="22"/>
      <c r="V11" s="23"/>
      <c r="W11" s="26">
        <v>0.5</v>
      </c>
      <c r="X11" s="23"/>
      <c r="Y11" s="22"/>
      <c r="Z11" s="23"/>
      <c r="AA11" s="27" t="s">
        <v>128</v>
      </c>
      <c r="AB11" s="28" t="str">
        <f>IFERROR(VLOOKUP(A11,'Go-No-Go'!$A:$M,12,0),"")</f>
        <v/>
      </c>
      <c r="AC11" s="29" t="str">
        <f>IFERROR(VLOOKUP(A11,'Go-No-Go'!$A:$N,14,0),"")</f>
        <v/>
      </c>
      <c r="AD11" s="30">
        <f t="shared" ca="1" si="1"/>
        <v>98.708333333328483</v>
      </c>
      <c r="AE11" s="31" t="str">
        <f t="shared" ca="1" si="2"/>
        <v>MISSING</v>
      </c>
      <c r="AF11" s="32" t="str">
        <f t="shared" ca="1" si="3"/>
        <v>[Pending-No Follow-Up Date] [Pending-No Follow-Up Owner]</v>
      </c>
    </row>
    <row r="12" spans="1:32" ht="18" customHeight="1" x14ac:dyDescent="0.25">
      <c r="A12" s="11" t="s">
        <v>129</v>
      </c>
      <c r="B12" s="11" t="s">
        <v>130</v>
      </c>
      <c r="C12" s="11" t="s">
        <v>131</v>
      </c>
      <c r="D12" s="11" t="s">
        <v>89</v>
      </c>
      <c r="E12" s="11" t="s">
        <v>29</v>
      </c>
      <c r="F12" s="11" t="s">
        <v>132</v>
      </c>
      <c r="G12" s="11" t="s">
        <v>91</v>
      </c>
      <c r="H12" s="11" t="s">
        <v>91</v>
      </c>
      <c r="I12" s="11" t="s">
        <v>40</v>
      </c>
      <c r="J12" s="11" t="s">
        <v>44</v>
      </c>
      <c r="K12" s="12">
        <v>46051.291666666672</v>
      </c>
      <c r="L12" s="12"/>
      <c r="M12" s="12"/>
      <c r="N12" s="13">
        <v>167139</v>
      </c>
      <c r="O12" s="13"/>
      <c r="P12" s="14">
        <f t="shared" si="0"/>
        <v>167139</v>
      </c>
      <c r="Q12" s="11" t="s">
        <v>93</v>
      </c>
      <c r="R12" s="13"/>
      <c r="S12" s="11"/>
      <c r="T12" s="13"/>
      <c r="U12" s="11"/>
      <c r="V12" s="12"/>
      <c r="W12" s="15">
        <v>0.5</v>
      </c>
      <c r="X12" s="12"/>
      <c r="Y12" s="11"/>
      <c r="Z12" s="12"/>
      <c r="AA12" s="16" t="s">
        <v>133</v>
      </c>
      <c r="AB12" s="17">
        <f>IFERROR(VLOOKUP(A12,'Go-No-Go'!$A:$M,12,0),"")</f>
        <v>26</v>
      </c>
      <c r="AC12" s="18" t="str">
        <f>IFERROR(VLOOKUP(A12,'Go-No-Go'!$A:$N,14,0),"")</f>
        <v>Review</v>
      </c>
      <c r="AD12" s="19">
        <f t="shared" ca="1" si="1"/>
        <v>103.70833333332848</v>
      </c>
      <c r="AE12" s="20" t="str">
        <f t="shared" ca="1" si="2"/>
        <v>MISSING</v>
      </c>
      <c r="AF12" s="21" t="str">
        <f t="shared" ca="1" si="3"/>
        <v>[Pending-No Follow-Up Date] [Pending-No Follow-Up Owner]</v>
      </c>
    </row>
    <row r="13" spans="1:32" ht="18" customHeight="1" x14ac:dyDescent="0.25">
      <c r="A13" s="22" t="s">
        <v>134</v>
      </c>
      <c r="B13" s="22" t="s">
        <v>135</v>
      </c>
      <c r="C13" s="22" t="s">
        <v>131</v>
      </c>
      <c r="D13" s="22" t="s">
        <v>89</v>
      </c>
      <c r="E13" s="22" t="s">
        <v>27</v>
      </c>
      <c r="F13" s="22" t="s">
        <v>90</v>
      </c>
      <c r="G13" s="22" t="s">
        <v>91</v>
      </c>
      <c r="H13" s="22" t="s">
        <v>91</v>
      </c>
      <c r="I13" s="22" t="s">
        <v>40</v>
      </c>
      <c r="J13" s="22" t="s">
        <v>92</v>
      </c>
      <c r="K13" s="23">
        <v>46051.291666666672</v>
      </c>
      <c r="L13" s="23"/>
      <c r="M13" s="23"/>
      <c r="N13" s="24">
        <v>4134360</v>
      </c>
      <c r="O13" s="24">
        <v>4534706</v>
      </c>
      <c r="P13" s="25">
        <f t="shared" si="0"/>
        <v>8669066</v>
      </c>
      <c r="Q13" s="22" t="s">
        <v>93</v>
      </c>
      <c r="R13" s="24"/>
      <c r="S13" s="22"/>
      <c r="T13" s="24"/>
      <c r="U13" s="22"/>
      <c r="V13" s="23"/>
      <c r="W13" s="26">
        <v>0.5</v>
      </c>
      <c r="X13" s="23"/>
      <c r="Y13" s="22"/>
      <c r="Z13" s="23"/>
      <c r="AA13" s="27" t="s">
        <v>136</v>
      </c>
      <c r="AB13" s="28">
        <f>IFERROR(VLOOKUP(A13,'Go-No-Go'!$A:$M,12,0),"")</f>
        <v>29</v>
      </c>
      <c r="AC13" s="29" t="str">
        <f>IFERROR(VLOOKUP(A13,'Go-No-Go'!$A:$N,14,0),"")</f>
        <v>Go</v>
      </c>
      <c r="AD13" s="30">
        <f t="shared" ca="1" si="1"/>
        <v>103.70833333332848</v>
      </c>
      <c r="AE13" s="31" t="str">
        <f t="shared" ca="1" si="2"/>
        <v>MISSING</v>
      </c>
      <c r="AF13" s="32" t="str">
        <f t="shared" ca="1" si="3"/>
        <v>[Pending-No Follow-Up Date] [Pending-No Follow-Up Owner]</v>
      </c>
    </row>
    <row r="14" spans="1:32" ht="18" customHeight="1" x14ac:dyDescent="0.25">
      <c r="A14" s="11" t="s">
        <v>137</v>
      </c>
      <c r="B14" s="11" t="s">
        <v>138</v>
      </c>
      <c r="C14" s="11" t="s">
        <v>139</v>
      </c>
      <c r="D14" s="11" t="s">
        <v>89</v>
      </c>
      <c r="E14" s="11" t="s">
        <v>29</v>
      </c>
      <c r="F14" s="11" t="s">
        <v>90</v>
      </c>
      <c r="G14" s="11" t="s">
        <v>91</v>
      </c>
      <c r="H14" s="11" t="s">
        <v>91</v>
      </c>
      <c r="I14" s="11" t="s">
        <v>40</v>
      </c>
      <c r="J14" s="11" t="s">
        <v>92</v>
      </c>
      <c r="K14" s="12">
        <v>46058.291666666672</v>
      </c>
      <c r="L14" s="12"/>
      <c r="M14" s="12"/>
      <c r="N14" s="13">
        <v>205754</v>
      </c>
      <c r="O14" s="13">
        <v>130206</v>
      </c>
      <c r="P14" s="14">
        <f t="shared" si="0"/>
        <v>335960</v>
      </c>
      <c r="Q14" s="11" t="s">
        <v>93</v>
      </c>
      <c r="R14" s="13"/>
      <c r="S14" s="11"/>
      <c r="T14" s="13"/>
      <c r="U14" s="11"/>
      <c r="V14" s="12"/>
      <c r="W14" s="15">
        <v>0.5</v>
      </c>
      <c r="X14" s="12"/>
      <c r="Y14" s="11"/>
      <c r="Z14" s="12"/>
      <c r="AA14" s="16" t="s">
        <v>140</v>
      </c>
      <c r="AB14" s="17">
        <f>IFERROR(VLOOKUP(A14,'Go-No-Go'!$A:$M,12,0),"")</f>
        <v>30</v>
      </c>
      <c r="AC14" s="18" t="str">
        <f>IFERROR(VLOOKUP(A14,'Go-No-Go'!$A:$N,14,0),"")</f>
        <v>Go</v>
      </c>
      <c r="AD14" s="19">
        <f t="shared" ca="1" si="1"/>
        <v>96.708333333328483</v>
      </c>
      <c r="AE14" s="20" t="str">
        <f t="shared" ca="1" si="2"/>
        <v>MISSING</v>
      </c>
      <c r="AF14" s="21" t="str">
        <f t="shared" ca="1" si="3"/>
        <v>[Pending-No Follow-Up Date] [Pending-No Follow-Up Owner]</v>
      </c>
    </row>
    <row r="15" spans="1:32" ht="18" customHeight="1" x14ac:dyDescent="0.25">
      <c r="A15" s="22" t="s">
        <v>141</v>
      </c>
      <c r="B15" s="22" t="s">
        <v>142</v>
      </c>
      <c r="C15" s="22" t="s">
        <v>143</v>
      </c>
      <c r="D15" s="22" t="s">
        <v>89</v>
      </c>
      <c r="E15" s="22" t="s">
        <v>27</v>
      </c>
      <c r="F15" s="22" t="s">
        <v>90</v>
      </c>
      <c r="G15" s="22" t="s">
        <v>91</v>
      </c>
      <c r="H15" s="22" t="s">
        <v>91</v>
      </c>
      <c r="I15" s="22" t="s">
        <v>40</v>
      </c>
      <c r="J15" s="22" t="s">
        <v>92</v>
      </c>
      <c r="K15" s="23">
        <v>46049.291666666672</v>
      </c>
      <c r="L15" s="23"/>
      <c r="M15" s="23"/>
      <c r="N15" s="24">
        <v>1332893</v>
      </c>
      <c r="O15" s="24">
        <v>778874</v>
      </c>
      <c r="P15" s="25">
        <f t="shared" si="0"/>
        <v>2111767</v>
      </c>
      <c r="Q15" s="22" t="s">
        <v>93</v>
      </c>
      <c r="R15" s="24"/>
      <c r="S15" s="22"/>
      <c r="T15" s="24"/>
      <c r="U15" s="22"/>
      <c r="V15" s="23"/>
      <c r="W15" s="26">
        <v>0.5</v>
      </c>
      <c r="X15" s="23"/>
      <c r="Y15" s="22"/>
      <c r="Z15" s="23"/>
      <c r="AA15" s="27" t="s">
        <v>144</v>
      </c>
      <c r="AB15" s="28" t="str">
        <f>IFERROR(VLOOKUP(A15,'Go-No-Go'!$A:$M,12,0),"")</f>
        <v/>
      </c>
      <c r="AC15" s="29" t="str">
        <f>IFERROR(VLOOKUP(A15,'Go-No-Go'!$A:$N,14,0),"")</f>
        <v/>
      </c>
      <c r="AD15" s="30">
        <f t="shared" ca="1" si="1"/>
        <v>105.70833333332848</v>
      </c>
      <c r="AE15" s="31" t="str">
        <f t="shared" ca="1" si="2"/>
        <v>MISSING</v>
      </c>
      <c r="AF15" s="32" t="str">
        <f t="shared" ca="1" si="3"/>
        <v>[Pending-No Follow-Up Date] [Pending-No Follow-Up Owner]</v>
      </c>
    </row>
    <row r="16" spans="1:32" ht="18" customHeight="1" x14ac:dyDescent="0.25">
      <c r="A16" s="11" t="s">
        <v>145</v>
      </c>
      <c r="B16" s="11" t="s">
        <v>146</v>
      </c>
      <c r="C16" s="11" t="s">
        <v>147</v>
      </c>
      <c r="D16" s="11" t="s">
        <v>148</v>
      </c>
      <c r="E16" s="11" t="s">
        <v>29</v>
      </c>
      <c r="F16" s="11" t="s">
        <v>90</v>
      </c>
      <c r="G16" s="11" t="s">
        <v>91</v>
      </c>
      <c r="H16" s="11" t="s">
        <v>91</v>
      </c>
      <c r="I16" s="11" t="s">
        <v>40</v>
      </c>
      <c r="J16" s="11" t="s">
        <v>92</v>
      </c>
      <c r="K16" s="12">
        <v>46063.291666666672</v>
      </c>
      <c r="L16" s="12"/>
      <c r="M16" s="12"/>
      <c r="N16" s="13">
        <v>114514</v>
      </c>
      <c r="O16" s="13">
        <v>72736</v>
      </c>
      <c r="P16" s="14">
        <f t="shared" si="0"/>
        <v>187250</v>
      </c>
      <c r="Q16" s="11" t="s">
        <v>93</v>
      </c>
      <c r="R16" s="13"/>
      <c r="S16" s="11"/>
      <c r="T16" s="13"/>
      <c r="U16" s="11"/>
      <c r="V16" s="12"/>
      <c r="W16" s="15">
        <v>0.5</v>
      </c>
      <c r="X16" s="12"/>
      <c r="Y16" s="11"/>
      <c r="Z16" s="12"/>
      <c r="AA16" s="16" t="s">
        <v>149</v>
      </c>
      <c r="AB16" s="17">
        <f>IFERROR(VLOOKUP(A16,'Go-No-Go'!$A:$M,12,0),"")</f>
        <v>26</v>
      </c>
      <c r="AC16" s="18" t="str">
        <f>IFERROR(VLOOKUP(A16,'Go-No-Go'!$A:$N,14,0),"")</f>
        <v>Review</v>
      </c>
      <c r="AD16" s="19">
        <f t="shared" ca="1" si="1"/>
        <v>91.708333333328483</v>
      </c>
      <c r="AE16" s="20" t="str">
        <f t="shared" ca="1" si="2"/>
        <v>MISSING</v>
      </c>
      <c r="AF16" s="21" t="str">
        <f t="shared" ca="1" si="3"/>
        <v>[Pending-No Follow-Up Date] [Pending-No Follow-Up Owner]</v>
      </c>
    </row>
    <row r="17" spans="1:32" ht="18" customHeight="1" x14ac:dyDescent="0.25">
      <c r="A17" s="22" t="s">
        <v>150</v>
      </c>
      <c r="B17" s="22" t="s">
        <v>151</v>
      </c>
      <c r="C17" s="22" t="s">
        <v>147</v>
      </c>
      <c r="D17" s="22" t="s">
        <v>152</v>
      </c>
      <c r="E17" s="22" t="s">
        <v>29</v>
      </c>
      <c r="F17" s="22" t="s">
        <v>90</v>
      </c>
      <c r="G17" s="22" t="s">
        <v>91</v>
      </c>
      <c r="H17" s="22" t="s">
        <v>91</v>
      </c>
      <c r="I17" s="22" t="s">
        <v>40</v>
      </c>
      <c r="J17" s="22" t="s">
        <v>92</v>
      </c>
      <c r="K17" s="23">
        <v>46071.291666666672</v>
      </c>
      <c r="L17" s="23"/>
      <c r="M17" s="23"/>
      <c r="N17" s="24">
        <v>339849</v>
      </c>
      <c r="O17" s="24">
        <v>276430</v>
      </c>
      <c r="P17" s="25">
        <f t="shared" si="0"/>
        <v>616279</v>
      </c>
      <c r="Q17" s="22" t="s">
        <v>93</v>
      </c>
      <c r="R17" s="24"/>
      <c r="S17" s="22"/>
      <c r="T17" s="24"/>
      <c r="U17" s="22"/>
      <c r="V17" s="23"/>
      <c r="W17" s="26">
        <v>0.5</v>
      </c>
      <c r="X17" s="23"/>
      <c r="Y17" s="22"/>
      <c r="Z17" s="23"/>
      <c r="AA17" s="27" t="s">
        <v>149</v>
      </c>
      <c r="AB17" s="28" t="str">
        <f>IFERROR(VLOOKUP(A17,'Go-No-Go'!$A:$M,12,0),"")</f>
        <v/>
      </c>
      <c r="AC17" s="29" t="str">
        <f>IFERROR(VLOOKUP(A17,'Go-No-Go'!$A:$N,14,0),"")</f>
        <v/>
      </c>
      <c r="AD17" s="30">
        <f t="shared" ca="1" si="1"/>
        <v>83.708333333328483</v>
      </c>
      <c r="AE17" s="31" t="str">
        <f t="shared" ca="1" si="2"/>
        <v>MISSING</v>
      </c>
      <c r="AF17" s="32" t="str">
        <f t="shared" ca="1" si="3"/>
        <v>[Pending-No Follow-Up Date] [Pending-No Follow-Up Owner]</v>
      </c>
    </row>
    <row r="18" spans="1:32" ht="18" customHeight="1" x14ac:dyDescent="0.25">
      <c r="A18" s="11" t="s">
        <v>153</v>
      </c>
      <c r="B18" s="11" t="s">
        <v>154</v>
      </c>
      <c r="C18" s="11" t="s">
        <v>155</v>
      </c>
      <c r="D18" s="11" t="s">
        <v>152</v>
      </c>
      <c r="E18" s="11" t="s">
        <v>27</v>
      </c>
      <c r="F18" s="11" t="s">
        <v>90</v>
      </c>
      <c r="G18" s="11" t="s">
        <v>91</v>
      </c>
      <c r="H18" s="11" t="s">
        <v>91</v>
      </c>
      <c r="I18" s="11" t="s">
        <v>40</v>
      </c>
      <c r="J18" s="11" t="s">
        <v>92</v>
      </c>
      <c r="K18" s="12">
        <v>46064.291666666672</v>
      </c>
      <c r="L18" s="12"/>
      <c r="M18" s="12"/>
      <c r="N18" s="13">
        <v>2809180</v>
      </c>
      <c r="O18" s="13">
        <v>3496373</v>
      </c>
      <c r="P18" s="14">
        <f t="shared" si="0"/>
        <v>6305553</v>
      </c>
      <c r="Q18" s="11" t="s">
        <v>93</v>
      </c>
      <c r="R18" s="13"/>
      <c r="S18" s="11"/>
      <c r="T18" s="13"/>
      <c r="U18" s="11"/>
      <c r="V18" s="12"/>
      <c r="W18" s="15">
        <v>0.5</v>
      </c>
      <c r="X18" s="12"/>
      <c r="Y18" s="11"/>
      <c r="Z18" s="12"/>
      <c r="AA18" s="16" t="s">
        <v>156</v>
      </c>
      <c r="AB18" s="17" t="str">
        <f>IFERROR(VLOOKUP(A18,'Go-No-Go'!$A:$M,12,0),"")</f>
        <v/>
      </c>
      <c r="AC18" s="18" t="str">
        <f>IFERROR(VLOOKUP(A18,'Go-No-Go'!$A:$N,14,0),"")</f>
        <v/>
      </c>
      <c r="AD18" s="19">
        <f t="shared" ca="1" si="1"/>
        <v>90.708333333328483</v>
      </c>
      <c r="AE18" s="20" t="str">
        <f t="shared" ca="1" si="2"/>
        <v>MISSING</v>
      </c>
      <c r="AF18" s="21" t="str">
        <f t="shared" ca="1" si="3"/>
        <v>[Pending-No Follow-Up Date] [Pending-No Follow-Up Owner]</v>
      </c>
    </row>
    <row r="19" spans="1:32" ht="18" customHeight="1" x14ac:dyDescent="0.25">
      <c r="A19" s="22" t="s">
        <v>157</v>
      </c>
      <c r="B19" s="22" t="s">
        <v>158</v>
      </c>
      <c r="C19" s="22" t="s">
        <v>101</v>
      </c>
      <c r="D19" s="22" t="s">
        <v>89</v>
      </c>
      <c r="E19" s="22" t="s">
        <v>23</v>
      </c>
      <c r="F19" s="22" t="s">
        <v>90</v>
      </c>
      <c r="G19" s="22" t="s">
        <v>91</v>
      </c>
      <c r="H19" s="22" t="s">
        <v>91</v>
      </c>
      <c r="I19" s="22" t="s">
        <v>40</v>
      </c>
      <c r="J19" s="22" t="s">
        <v>92</v>
      </c>
      <c r="K19" s="23">
        <v>46076.291666666672</v>
      </c>
      <c r="L19" s="23"/>
      <c r="M19" s="23"/>
      <c r="N19" s="24">
        <v>3417972</v>
      </c>
      <c r="O19" s="24">
        <v>2417425</v>
      </c>
      <c r="P19" s="25">
        <f t="shared" si="0"/>
        <v>5835397</v>
      </c>
      <c r="Q19" s="22" t="s">
        <v>93</v>
      </c>
      <c r="R19" s="24"/>
      <c r="S19" s="22"/>
      <c r="T19" s="24"/>
      <c r="U19" s="22"/>
      <c r="V19" s="23"/>
      <c r="W19" s="26">
        <v>0.5</v>
      </c>
      <c r="X19" s="23"/>
      <c r="Y19" s="22"/>
      <c r="Z19" s="23"/>
      <c r="AA19" s="27" t="s">
        <v>159</v>
      </c>
      <c r="AB19" s="28" t="str">
        <f>IFERROR(VLOOKUP(A19,'Go-No-Go'!$A:$M,12,0),"")</f>
        <v/>
      </c>
      <c r="AC19" s="29" t="str">
        <f>IFERROR(VLOOKUP(A19,'Go-No-Go'!$A:$N,14,0),"")</f>
        <v/>
      </c>
      <c r="AD19" s="30">
        <f t="shared" ca="1" si="1"/>
        <v>78.708333333328483</v>
      </c>
      <c r="AE19" s="31" t="str">
        <f t="shared" ca="1" si="2"/>
        <v>MISSING</v>
      </c>
      <c r="AF19" s="32" t="str">
        <f t="shared" ca="1" si="3"/>
        <v>[Pending-No Follow-Up Date] [Pending-No Follow-Up Owner]</v>
      </c>
    </row>
    <row r="20" spans="1:32" ht="18" customHeight="1" x14ac:dyDescent="0.25">
      <c r="A20" s="11" t="s">
        <v>160</v>
      </c>
      <c r="B20" s="11" t="s">
        <v>161</v>
      </c>
      <c r="C20" s="11" t="s">
        <v>88</v>
      </c>
      <c r="D20" s="11" t="s">
        <v>89</v>
      </c>
      <c r="E20" s="11" t="s">
        <v>20</v>
      </c>
      <c r="F20" s="11" t="s">
        <v>90</v>
      </c>
      <c r="G20" s="11" t="s">
        <v>91</v>
      </c>
      <c r="H20" s="11" t="s">
        <v>91</v>
      </c>
      <c r="I20" s="11" t="s">
        <v>40</v>
      </c>
      <c r="J20" s="11" t="s">
        <v>92</v>
      </c>
      <c r="K20" s="12">
        <v>46057.291666666672</v>
      </c>
      <c r="L20" s="12"/>
      <c r="M20" s="12"/>
      <c r="N20" s="13">
        <v>131701</v>
      </c>
      <c r="O20" s="13">
        <v>153676</v>
      </c>
      <c r="P20" s="14">
        <f t="shared" si="0"/>
        <v>285377</v>
      </c>
      <c r="Q20" s="11" t="s">
        <v>93</v>
      </c>
      <c r="R20" s="13"/>
      <c r="S20" s="11"/>
      <c r="T20" s="13"/>
      <c r="U20" s="11"/>
      <c r="V20" s="12"/>
      <c r="W20" s="15">
        <v>0.5</v>
      </c>
      <c r="X20" s="12"/>
      <c r="Y20" s="11"/>
      <c r="Z20" s="12"/>
      <c r="AA20" s="16" t="s">
        <v>162</v>
      </c>
      <c r="AB20" s="17" t="str">
        <f>IFERROR(VLOOKUP(A20,'Go-No-Go'!$A:$M,12,0),"")</f>
        <v/>
      </c>
      <c r="AC20" s="18" t="str">
        <f>IFERROR(VLOOKUP(A20,'Go-No-Go'!$A:$N,14,0),"")</f>
        <v/>
      </c>
      <c r="AD20" s="19">
        <f t="shared" ca="1" si="1"/>
        <v>97.708333333328483</v>
      </c>
      <c r="AE20" s="20" t="str">
        <f t="shared" ca="1" si="2"/>
        <v>MISSING</v>
      </c>
      <c r="AF20" s="21" t="str">
        <f t="shared" ca="1" si="3"/>
        <v>[Pending-No Follow-Up Date] [Pending-No Follow-Up Owner]</v>
      </c>
    </row>
    <row r="21" spans="1:32" ht="18" customHeight="1" x14ac:dyDescent="0.25">
      <c r="A21" s="22" t="s">
        <v>163</v>
      </c>
      <c r="B21" s="22" t="s">
        <v>164</v>
      </c>
      <c r="C21" s="22" t="s">
        <v>101</v>
      </c>
      <c r="D21" s="22" t="s">
        <v>165</v>
      </c>
      <c r="E21" s="22" t="s">
        <v>29</v>
      </c>
      <c r="F21" s="22" t="s">
        <v>90</v>
      </c>
      <c r="G21" s="22" t="s">
        <v>91</v>
      </c>
      <c r="H21" s="22" t="s">
        <v>91</v>
      </c>
      <c r="I21" s="22" t="s">
        <v>40</v>
      </c>
      <c r="J21" s="22" t="s">
        <v>89</v>
      </c>
      <c r="K21" s="23">
        <v>46057.291666666672</v>
      </c>
      <c r="L21" s="23"/>
      <c r="M21" s="23"/>
      <c r="N21" s="24">
        <v>885121</v>
      </c>
      <c r="O21" s="24">
        <v>4277586</v>
      </c>
      <c r="P21" s="25">
        <f t="shared" si="0"/>
        <v>5162707</v>
      </c>
      <c r="Q21" s="22" t="s">
        <v>93</v>
      </c>
      <c r="R21" s="24"/>
      <c r="S21" s="22"/>
      <c r="T21" s="24"/>
      <c r="U21" s="22"/>
      <c r="V21" s="23"/>
      <c r="W21" s="26">
        <v>0.5</v>
      </c>
      <c r="X21" s="23"/>
      <c r="Y21" s="22"/>
      <c r="Z21" s="23"/>
      <c r="AA21" s="27" t="s">
        <v>166</v>
      </c>
      <c r="AB21" s="28" t="str">
        <f>IFERROR(VLOOKUP(A21,'Go-No-Go'!$A:$M,12,0),"")</f>
        <v/>
      </c>
      <c r="AC21" s="29" t="str">
        <f>IFERROR(VLOOKUP(A21,'Go-No-Go'!$A:$N,14,0),"")</f>
        <v/>
      </c>
      <c r="AD21" s="30">
        <f t="shared" ca="1" si="1"/>
        <v>97.708333333328483</v>
      </c>
      <c r="AE21" s="31" t="str">
        <f t="shared" ca="1" si="2"/>
        <v>MISSING</v>
      </c>
      <c r="AF21" s="32" t="str">
        <f t="shared" ca="1" si="3"/>
        <v>[Pending-No Follow-Up Date] [Pending-No Follow-Up Owner]</v>
      </c>
    </row>
    <row r="22" spans="1:32" ht="18" customHeight="1" x14ac:dyDescent="0.25">
      <c r="A22" s="11" t="s">
        <v>167</v>
      </c>
      <c r="B22" s="11" t="s">
        <v>168</v>
      </c>
      <c r="C22" s="11" t="s">
        <v>169</v>
      </c>
      <c r="D22" s="11" t="s">
        <v>89</v>
      </c>
      <c r="E22" s="11" t="s">
        <v>29</v>
      </c>
      <c r="F22" s="11" t="s">
        <v>90</v>
      </c>
      <c r="G22" s="11" t="s">
        <v>91</v>
      </c>
      <c r="H22" s="11" t="s">
        <v>91</v>
      </c>
      <c r="I22" s="11" t="s">
        <v>40</v>
      </c>
      <c r="J22" s="11" t="s">
        <v>92</v>
      </c>
      <c r="K22" s="12">
        <v>46098.25</v>
      </c>
      <c r="L22" s="12"/>
      <c r="M22" s="12"/>
      <c r="N22" s="13">
        <v>355155</v>
      </c>
      <c r="O22" s="13">
        <v>232824</v>
      </c>
      <c r="P22" s="14">
        <f t="shared" si="0"/>
        <v>587979</v>
      </c>
      <c r="Q22" s="11" t="s">
        <v>93</v>
      </c>
      <c r="R22" s="13"/>
      <c r="S22" s="11"/>
      <c r="T22" s="13"/>
      <c r="U22" s="11"/>
      <c r="V22" s="12"/>
      <c r="W22" s="15">
        <v>0.5</v>
      </c>
      <c r="X22" s="12"/>
      <c r="Y22" s="11"/>
      <c r="Z22" s="12"/>
      <c r="AA22" s="16" t="s">
        <v>170</v>
      </c>
      <c r="AB22" s="17" t="str">
        <f>IFERROR(VLOOKUP(A22,'Go-No-Go'!$A:$M,12,0),"")</f>
        <v/>
      </c>
      <c r="AC22" s="18" t="str">
        <f>IFERROR(VLOOKUP(A22,'Go-No-Go'!$A:$N,14,0),"")</f>
        <v/>
      </c>
      <c r="AD22" s="19">
        <f t="shared" ca="1" si="1"/>
        <v>56.75</v>
      </c>
      <c r="AE22" s="20" t="str">
        <f t="shared" ca="1" si="2"/>
        <v>MISSING</v>
      </c>
      <c r="AF22" s="21" t="str">
        <f t="shared" ca="1" si="3"/>
        <v>[Pending-No Follow-Up Date] [Pending-No Follow-Up Owner]</v>
      </c>
    </row>
    <row r="23" spans="1:32" ht="18" customHeight="1" x14ac:dyDescent="0.25">
      <c r="A23" s="22" t="s">
        <v>171</v>
      </c>
      <c r="B23" s="22" t="s">
        <v>172</v>
      </c>
      <c r="C23" s="22" t="s">
        <v>173</v>
      </c>
      <c r="D23" s="22" t="s">
        <v>118</v>
      </c>
      <c r="E23" s="22" t="s">
        <v>23</v>
      </c>
      <c r="F23" s="22" t="s">
        <v>90</v>
      </c>
      <c r="G23" s="22" t="s">
        <v>91</v>
      </c>
      <c r="H23" s="22" t="s">
        <v>91</v>
      </c>
      <c r="I23" s="22" t="s">
        <v>40</v>
      </c>
      <c r="J23" s="22" t="s">
        <v>89</v>
      </c>
      <c r="K23" s="23">
        <v>46085.291666666672</v>
      </c>
      <c r="L23" s="23"/>
      <c r="M23" s="23"/>
      <c r="N23" s="24">
        <v>2326498</v>
      </c>
      <c r="O23" s="24">
        <v>1192678</v>
      </c>
      <c r="P23" s="25">
        <f t="shared" si="0"/>
        <v>3519176</v>
      </c>
      <c r="Q23" s="22" t="s">
        <v>93</v>
      </c>
      <c r="R23" s="24"/>
      <c r="S23" s="22"/>
      <c r="T23" s="24"/>
      <c r="U23" s="22"/>
      <c r="V23" s="23"/>
      <c r="W23" s="26">
        <v>0.5</v>
      </c>
      <c r="X23" s="23"/>
      <c r="Y23" s="22"/>
      <c r="Z23" s="23"/>
      <c r="AA23" s="27" t="s">
        <v>174</v>
      </c>
      <c r="AB23" s="28" t="str">
        <f>IFERROR(VLOOKUP(A23,'Go-No-Go'!$A:$M,12,0),"")</f>
        <v/>
      </c>
      <c r="AC23" s="29" t="str">
        <f>IFERROR(VLOOKUP(A23,'Go-No-Go'!$A:$N,14,0),"")</f>
        <v/>
      </c>
      <c r="AD23" s="30">
        <f t="shared" ca="1" si="1"/>
        <v>69.708333333328483</v>
      </c>
      <c r="AE23" s="31" t="str">
        <f t="shared" ca="1" si="2"/>
        <v>MISSING</v>
      </c>
      <c r="AF23" s="32" t="str">
        <f t="shared" ca="1" si="3"/>
        <v>[Pending-No Follow-Up Date] [Pending-No Follow-Up Owner]</v>
      </c>
    </row>
    <row r="24" spans="1:32" ht="18" customHeight="1" x14ac:dyDescent="0.25">
      <c r="A24" s="11" t="s">
        <v>175</v>
      </c>
      <c r="B24" s="11" t="s">
        <v>176</v>
      </c>
      <c r="C24" s="11" t="s">
        <v>177</v>
      </c>
      <c r="D24" s="11" t="s">
        <v>178</v>
      </c>
      <c r="E24" s="11" t="s">
        <v>29</v>
      </c>
      <c r="F24" s="11" t="s">
        <v>90</v>
      </c>
      <c r="G24" s="11" t="s">
        <v>91</v>
      </c>
      <c r="H24" s="11" t="s">
        <v>91</v>
      </c>
      <c r="I24" s="11" t="s">
        <v>40</v>
      </c>
      <c r="J24" s="11" t="s">
        <v>92</v>
      </c>
      <c r="K24" s="12">
        <v>46072.291666666672</v>
      </c>
      <c r="L24" s="12"/>
      <c r="M24" s="12"/>
      <c r="N24" s="13">
        <v>602661</v>
      </c>
      <c r="O24" s="13">
        <v>797531</v>
      </c>
      <c r="P24" s="14">
        <f t="shared" si="0"/>
        <v>1400192</v>
      </c>
      <c r="Q24" s="11" t="s">
        <v>93</v>
      </c>
      <c r="R24" s="13"/>
      <c r="S24" s="11"/>
      <c r="T24" s="13"/>
      <c r="U24" s="11"/>
      <c r="V24" s="12"/>
      <c r="W24" s="15">
        <v>0.5</v>
      </c>
      <c r="X24" s="12"/>
      <c r="Y24" s="11"/>
      <c r="Z24" s="12"/>
      <c r="AA24" s="16" t="s">
        <v>179</v>
      </c>
      <c r="AB24" s="17" t="str">
        <f>IFERROR(VLOOKUP(A24,'Go-No-Go'!$A:$M,12,0),"")</f>
        <v/>
      </c>
      <c r="AC24" s="18" t="str">
        <f>IFERROR(VLOOKUP(A24,'Go-No-Go'!$A:$N,14,0),"")</f>
        <v/>
      </c>
      <c r="AD24" s="19">
        <f t="shared" ca="1" si="1"/>
        <v>82.708333333328483</v>
      </c>
      <c r="AE24" s="20" t="str">
        <f t="shared" ca="1" si="2"/>
        <v>MISSING</v>
      </c>
      <c r="AF24" s="21" t="str">
        <f t="shared" ca="1" si="3"/>
        <v>[Pending-No Follow-Up Date] [Pending-No Follow-Up Owner]</v>
      </c>
    </row>
    <row r="25" spans="1:32" ht="18" customHeight="1" x14ac:dyDescent="0.25">
      <c r="A25" s="22" t="s">
        <v>180</v>
      </c>
      <c r="B25" s="22" t="s">
        <v>181</v>
      </c>
      <c r="C25" s="22" t="s">
        <v>101</v>
      </c>
      <c r="D25" s="22" t="s">
        <v>89</v>
      </c>
      <c r="E25" s="22" t="s">
        <v>29</v>
      </c>
      <c r="F25" s="22" t="s">
        <v>90</v>
      </c>
      <c r="G25" s="22" t="s">
        <v>91</v>
      </c>
      <c r="H25" s="22" t="s">
        <v>91</v>
      </c>
      <c r="I25" s="22" t="s">
        <v>40</v>
      </c>
      <c r="J25" s="22" t="s">
        <v>92</v>
      </c>
      <c r="K25" s="23">
        <v>46073.291666666672</v>
      </c>
      <c r="L25" s="23"/>
      <c r="M25" s="23"/>
      <c r="N25" s="24">
        <v>142132</v>
      </c>
      <c r="O25" s="24">
        <v>329764</v>
      </c>
      <c r="P25" s="25">
        <f t="shared" si="0"/>
        <v>471896</v>
      </c>
      <c r="Q25" s="22" t="s">
        <v>93</v>
      </c>
      <c r="R25" s="24"/>
      <c r="S25" s="22"/>
      <c r="T25" s="24"/>
      <c r="U25" s="22"/>
      <c r="V25" s="23"/>
      <c r="W25" s="26">
        <v>0.5</v>
      </c>
      <c r="X25" s="23"/>
      <c r="Y25" s="22"/>
      <c r="Z25" s="23"/>
      <c r="AA25" s="27" t="s">
        <v>182</v>
      </c>
      <c r="AB25" s="28" t="str">
        <f>IFERROR(VLOOKUP(A25,'Go-No-Go'!$A:$M,12,0),"")</f>
        <v/>
      </c>
      <c r="AC25" s="29" t="str">
        <f>IFERROR(VLOOKUP(A25,'Go-No-Go'!$A:$N,14,0),"")</f>
        <v/>
      </c>
      <c r="AD25" s="30">
        <f t="shared" ca="1" si="1"/>
        <v>81.708333333328483</v>
      </c>
      <c r="AE25" s="31" t="str">
        <f t="shared" ca="1" si="2"/>
        <v>MISSING</v>
      </c>
      <c r="AF25" s="32" t="str">
        <f t="shared" ca="1" si="3"/>
        <v>[Pending-No Follow-Up Date] [Pending-No Follow-Up Owner]</v>
      </c>
    </row>
    <row r="26" spans="1:32" ht="18" customHeight="1" x14ac:dyDescent="0.25">
      <c r="A26" s="11" t="s">
        <v>183</v>
      </c>
      <c r="B26" s="11" t="s">
        <v>184</v>
      </c>
      <c r="C26" s="11" t="s">
        <v>169</v>
      </c>
      <c r="D26" s="11" t="s">
        <v>89</v>
      </c>
      <c r="E26" s="11" t="s">
        <v>29</v>
      </c>
      <c r="F26" s="11" t="s">
        <v>90</v>
      </c>
      <c r="G26" s="11" t="s">
        <v>91</v>
      </c>
      <c r="H26" s="11" t="s">
        <v>91</v>
      </c>
      <c r="I26" s="11" t="s">
        <v>40</v>
      </c>
      <c r="J26" s="11" t="s">
        <v>92</v>
      </c>
      <c r="K26" s="12">
        <v>46079.291666666672</v>
      </c>
      <c r="L26" s="12"/>
      <c r="M26" s="12"/>
      <c r="N26" s="13">
        <v>68011</v>
      </c>
      <c r="O26" s="13">
        <v>36426</v>
      </c>
      <c r="P26" s="14">
        <f t="shared" si="0"/>
        <v>104437</v>
      </c>
      <c r="Q26" s="11" t="s">
        <v>93</v>
      </c>
      <c r="R26" s="13"/>
      <c r="S26" s="11"/>
      <c r="T26" s="13"/>
      <c r="U26" s="11"/>
      <c r="V26" s="12"/>
      <c r="W26" s="15">
        <v>0.5</v>
      </c>
      <c r="X26" s="12"/>
      <c r="Y26" s="11"/>
      <c r="Z26" s="12"/>
      <c r="AA26" s="16" t="s">
        <v>185</v>
      </c>
      <c r="AB26" s="17" t="str">
        <f>IFERROR(VLOOKUP(A26,'Go-No-Go'!$A:$M,12,0),"")</f>
        <v/>
      </c>
      <c r="AC26" s="18" t="str">
        <f>IFERROR(VLOOKUP(A26,'Go-No-Go'!$A:$N,14,0),"")</f>
        <v/>
      </c>
      <c r="AD26" s="19">
        <f t="shared" ca="1" si="1"/>
        <v>75.708333333328483</v>
      </c>
      <c r="AE26" s="20" t="str">
        <f t="shared" ca="1" si="2"/>
        <v>MISSING</v>
      </c>
      <c r="AF26" s="21" t="str">
        <f t="shared" ca="1" si="3"/>
        <v>[Pending-No Follow-Up Date] [Pending-No Follow-Up Owner]</v>
      </c>
    </row>
    <row r="27" spans="1:32" ht="18" customHeight="1" x14ac:dyDescent="0.25">
      <c r="A27" s="22" t="s">
        <v>186</v>
      </c>
      <c r="B27" s="22" t="s">
        <v>187</v>
      </c>
      <c r="C27" s="22" t="s">
        <v>188</v>
      </c>
      <c r="D27" s="22" t="s">
        <v>89</v>
      </c>
      <c r="E27" s="22" t="s">
        <v>29</v>
      </c>
      <c r="F27" s="22" t="s">
        <v>90</v>
      </c>
      <c r="G27" s="22" t="s">
        <v>91</v>
      </c>
      <c r="H27" s="22" t="s">
        <v>91</v>
      </c>
      <c r="I27" s="22" t="s">
        <v>40</v>
      </c>
      <c r="J27" s="22" t="s">
        <v>92</v>
      </c>
      <c r="K27" s="23">
        <v>46079.291666666672</v>
      </c>
      <c r="L27" s="23"/>
      <c r="M27" s="23"/>
      <c r="N27" s="24">
        <v>222700</v>
      </c>
      <c r="O27" s="24">
        <v>157906</v>
      </c>
      <c r="P27" s="25">
        <f t="shared" si="0"/>
        <v>380606</v>
      </c>
      <c r="Q27" s="22" t="s">
        <v>93</v>
      </c>
      <c r="R27" s="24"/>
      <c r="S27" s="22"/>
      <c r="T27" s="24"/>
      <c r="U27" s="22"/>
      <c r="V27" s="23"/>
      <c r="W27" s="26">
        <v>0.5</v>
      </c>
      <c r="X27" s="23"/>
      <c r="Y27" s="22"/>
      <c r="Z27" s="23"/>
      <c r="AA27" s="27" t="s">
        <v>189</v>
      </c>
      <c r="AB27" s="28" t="str">
        <f>IFERROR(VLOOKUP(A27,'Go-No-Go'!$A:$M,12,0),"")</f>
        <v/>
      </c>
      <c r="AC27" s="29" t="str">
        <f>IFERROR(VLOOKUP(A27,'Go-No-Go'!$A:$N,14,0),"")</f>
        <v/>
      </c>
      <c r="AD27" s="30">
        <f t="shared" ca="1" si="1"/>
        <v>75.708333333328483</v>
      </c>
      <c r="AE27" s="31" t="str">
        <f t="shared" ca="1" si="2"/>
        <v>MISSING</v>
      </c>
      <c r="AF27" s="32" t="str">
        <f t="shared" ca="1" si="3"/>
        <v>[Pending-No Follow-Up Date] [Pending-No Follow-Up Owner]</v>
      </c>
    </row>
    <row r="28" spans="1:32" ht="18" customHeight="1" x14ac:dyDescent="0.25">
      <c r="A28" s="11" t="s">
        <v>190</v>
      </c>
      <c r="B28" s="11" t="s">
        <v>191</v>
      </c>
      <c r="C28" s="11" t="s">
        <v>192</v>
      </c>
      <c r="D28" s="11" t="s">
        <v>89</v>
      </c>
      <c r="E28" s="11" t="s">
        <v>29</v>
      </c>
      <c r="F28" s="11" t="s">
        <v>132</v>
      </c>
      <c r="G28" s="11" t="s">
        <v>91</v>
      </c>
      <c r="H28" s="11" t="s">
        <v>91</v>
      </c>
      <c r="I28" s="11" t="s">
        <v>40</v>
      </c>
      <c r="J28" s="11" t="s">
        <v>89</v>
      </c>
      <c r="K28" s="12">
        <v>46100.25</v>
      </c>
      <c r="L28" s="12"/>
      <c r="M28" s="12"/>
      <c r="N28" s="13">
        <v>4367489</v>
      </c>
      <c r="O28" s="13"/>
      <c r="P28" s="14">
        <f t="shared" si="0"/>
        <v>4367489</v>
      </c>
      <c r="Q28" s="11" t="s">
        <v>93</v>
      </c>
      <c r="R28" s="13"/>
      <c r="S28" s="11"/>
      <c r="T28" s="13"/>
      <c r="U28" s="11"/>
      <c r="V28" s="12"/>
      <c r="W28" s="15">
        <v>0.5</v>
      </c>
      <c r="X28" s="12"/>
      <c r="Y28" s="11"/>
      <c r="Z28" s="12"/>
      <c r="AA28" s="16" t="s">
        <v>193</v>
      </c>
      <c r="AB28" s="17" t="str">
        <f>IFERROR(VLOOKUP(A28,'Go-No-Go'!$A:$M,12,0),"")</f>
        <v/>
      </c>
      <c r="AC28" s="18" t="str">
        <f>IFERROR(VLOOKUP(A28,'Go-No-Go'!$A:$N,14,0),"")</f>
        <v/>
      </c>
      <c r="AD28" s="19">
        <f t="shared" ca="1" si="1"/>
        <v>54.75</v>
      </c>
      <c r="AE28" s="20" t="str">
        <f t="shared" ca="1" si="2"/>
        <v>MISSING</v>
      </c>
      <c r="AF28" s="21" t="str">
        <f t="shared" ca="1" si="3"/>
        <v>[Pending-No Follow-Up Date] [Pending-No Follow-Up Owner]</v>
      </c>
    </row>
    <row r="29" spans="1:32" ht="18" customHeight="1" x14ac:dyDescent="0.25">
      <c r="A29" s="22" t="s">
        <v>194</v>
      </c>
      <c r="B29" s="22" t="s">
        <v>195</v>
      </c>
      <c r="C29" s="22" t="s">
        <v>196</v>
      </c>
      <c r="D29" s="22" t="s">
        <v>152</v>
      </c>
      <c r="E29" s="22" t="s">
        <v>20</v>
      </c>
      <c r="F29" s="22" t="s">
        <v>132</v>
      </c>
      <c r="G29" s="22" t="s">
        <v>91</v>
      </c>
      <c r="H29" s="22" t="s">
        <v>91</v>
      </c>
      <c r="I29" s="22" t="s">
        <v>40</v>
      </c>
      <c r="J29" s="22" t="s">
        <v>92</v>
      </c>
      <c r="K29" s="23">
        <v>46100.25</v>
      </c>
      <c r="L29" s="23"/>
      <c r="M29" s="23"/>
      <c r="N29" s="24">
        <v>34977</v>
      </c>
      <c r="O29" s="24">
        <v>17303</v>
      </c>
      <c r="P29" s="25">
        <f t="shared" si="0"/>
        <v>52280</v>
      </c>
      <c r="Q29" s="22" t="s">
        <v>93</v>
      </c>
      <c r="R29" s="24"/>
      <c r="S29" s="22"/>
      <c r="T29" s="24"/>
      <c r="U29" s="22"/>
      <c r="V29" s="23"/>
      <c r="W29" s="26">
        <v>0.5</v>
      </c>
      <c r="X29" s="23"/>
      <c r="Y29" s="22"/>
      <c r="Z29" s="23"/>
      <c r="AA29" s="27" t="s">
        <v>197</v>
      </c>
      <c r="AB29" s="28" t="str">
        <f>IFERROR(VLOOKUP(A29,'Go-No-Go'!$A:$M,12,0),"")</f>
        <v/>
      </c>
      <c r="AC29" s="29" t="str">
        <f>IFERROR(VLOOKUP(A29,'Go-No-Go'!$A:$N,14,0),"")</f>
        <v/>
      </c>
      <c r="AD29" s="30">
        <f t="shared" ca="1" si="1"/>
        <v>54.75</v>
      </c>
      <c r="AE29" s="31" t="str">
        <f t="shared" ca="1" si="2"/>
        <v>MISSING</v>
      </c>
      <c r="AF29" s="32" t="str">
        <f t="shared" ca="1" si="3"/>
        <v>[Pending-No Follow-Up Date] [Pending-No Follow-Up Owner]</v>
      </c>
    </row>
    <row r="30" spans="1:32" ht="18" customHeight="1" x14ac:dyDescent="0.25">
      <c r="A30" s="11" t="s">
        <v>198</v>
      </c>
      <c r="B30" s="11" t="s">
        <v>199</v>
      </c>
      <c r="C30" s="11" t="s">
        <v>200</v>
      </c>
      <c r="D30" s="11" t="s">
        <v>201</v>
      </c>
      <c r="E30" s="11" t="s">
        <v>28</v>
      </c>
      <c r="F30" s="11" t="s">
        <v>90</v>
      </c>
      <c r="G30" s="11" t="s">
        <v>91</v>
      </c>
      <c r="H30" s="11" t="s">
        <v>91</v>
      </c>
      <c r="I30" s="11" t="s">
        <v>40</v>
      </c>
      <c r="J30" s="11" t="s">
        <v>92</v>
      </c>
      <c r="K30" s="12">
        <v>46101.25</v>
      </c>
      <c r="L30" s="12"/>
      <c r="M30" s="12"/>
      <c r="N30" s="13">
        <v>90847</v>
      </c>
      <c r="O30" s="13">
        <v>125683</v>
      </c>
      <c r="P30" s="14">
        <f t="shared" si="0"/>
        <v>216530</v>
      </c>
      <c r="Q30" s="11" t="s">
        <v>93</v>
      </c>
      <c r="R30" s="13"/>
      <c r="S30" s="11"/>
      <c r="T30" s="13"/>
      <c r="U30" s="11"/>
      <c r="V30" s="12"/>
      <c r="W30" s="15">
        <v>0.5</v>
      </c>
      <c r="X30" s="12"/>
      <c r="Y30" s="11"/>
      <c r="Z30" s="12"/>
      <c r="AA30" s="16" t="s">
        <v>202</v>
      </c>
      <c r="AB30" s="17" t="str">
        <f>IFERROR(VLOOKUP(A30,'Go-No-Go'!$A:$M,12,0),"")</f>
        <v/>
      </c>
      <c r="AC30" s="18" t="str">
        <f>IFERROR(VLOOKUP(A30,'Go-No-Go'!$A:$N,14,0),"")</f>
        <v/>
      </c>
      <c r="AD30" s="19">
        <f t="shared" ca="1" si="1"/>
        <v>53.75</v>
      </c>
      <c r="AE30" s="20" t="str">
        <f t="shared" ca="1" si="2"/>
        <v>MISSING</v>
      </c>
      <c r="AF30" s="21" t="str">
        <f t="shared" ca="1" si="3"/>
        <v>[Pending-No Follow-Up Date] [Pending-No Follow-Up Owner]</v>
      </c>
    </row>
    <row r="31" spans="1:32" ht="18" customHeight="1" x14ac:dyDescent="0.25">
      <c r="A31" s="22" t="s">
        <v>203</v>
      </c>
      <c r="B31" s="22" t="s">
        <v>204</v>
      </c>
      <c r="C31" s="22" t="s">
        <v>205</v>
      </c>
      <c r="D31" s="22" t="s">
        <v>178</v>
      </c>
      <c r="E31" s="22" t="s">
        <v>20</v>
      </c>
      <c r="F31" s="22" t="s">
        <v>132</v>
      </c>
      <c r="G31" s="22" t="s">
        <v>91</v>
      </c>
      <c r="H31" s="22" t="s">
        <v>91</v>
      </c>
      <c r="I31" s="22" t="s">
        <v>40</v>
      </c>
      <c r="J31" s="22" t="s">
        <v>92</v>
      </c>
      <c r="K31" s="23">
        <v>46104.25</v>
      </c>
      <c r="L31" s="23"/>
      <c r="M31" s="23"/>
      <c r="N31" s="24">
        <v>12110932</v>
      </c>
      <c r="O31" s="24">
        <v>3451361</v>
      </c>
      <c r="P31" s="25">
        <f t="shared" si="0"/>
        <v>15562293</v>
      </c>
      <c r="Q31" s="22" t="s">
        <v>93</v>
      </c>
      <c r="R31" s="24"/>
      <c r="S31" s="22"/>
      <c r="T31" s="24"/>
      <c r="U31" s="22"/>
      <c r="V31" s="23"/>
      <c r="W31" s="26">
        <v>0.5</v>
      </c>
      <c r="X31" s="23"/>
      <c r="Y31" s="22"/>
      <c r="Z31" s="23"/>
      <c r="AA31" s="27" t="s">
        <v>206</v>
      </c>
      <c r="AB31" s="28" t="str">
        <f>IFERROR(VLOOKUP(A31,'Go-No-Go'!$A:$M,12,0),"")</f>
        <v/>
      </c>
      <c r="AC31" s="29" t="str">
        <f>IFERROR(VLOOKUP(A31,'Go-No-Go'!$A:$N,14,0),"")</f>
        <v/>
      </c>
      <c r="AD31" s="30">
        <f t="shared" ca="1" si="1"/>
        <v>50.75</v>
      </c>
      <c r="AE31" s="31" t="str">
        <f t="shared" ca="1" si="2"/>
        <v>MISSING</v>
      </c>
      <c r="AF31" s="32" t="str">
        <f t="shared" ca="1" si="3"/>
        <v>[Pending-No Follow-Up Date] [Pending-No Follow-Up Owner]</v>
      </c>
    </row>
    <row r="32" spans="1:32" ht="18" customHeight="1" x14ac:dyDescent="0.25">
      <c r="A32" s="11" t="s">
        <v>207</v>
      </c>
      <c r="B32" s="11" t="s">
        <v>208</v>
      </c>
      <c r="C32" s="11" t="s">
        <v>209</v>
      </c>
      <c r="D32" s="11" t="s">
        <v>210</v>
      </c>
      <c r="E32" s="11" t="s">
        <v>20</v>
      </c>
      <c r="F32" s="11" t="s">
        <v>90</v>
      </c>
      <c r="G32" s="11" t="s">
        <v>91</v>
      </c>
      <c r="H32" s="11" t="s">
        <v>91</v>
      </c>
      <c r="I32" s="11" t="s">
        <v>40</v>
      </c>
      <c r="J32" s="11" t="s">
        <v>92</v>
      </c>
      <c r="K32" s="12">
        <v>46108.25</v>
      </c>
      <c r="L32" s="12"/>
      <c r="M32" s="12"/>
      <c r="N32" s="13">
        <v>84641</v>
      </c>
      <c r="O32" s="13">
        <v>511064</v>
      </c>
      <c r="P32" s="14">
        <f t="shared" si="0"/>
        <v>595705</v>
      </c>
      <c r="Q32" s="11" t="s">
        <v>93</v>
      </c>
      <c r="R32" s="13"/>
      <c r="S32" s="11"/>
      <c r="T32" s="13"/>
      <c r="U32" s="11"/>
      <c r="V32" s="12"/>
      <c r="W32" s="15">
        <v>0.5</v>
      </c>
      <c r="X32" s="12"/>
      <c r="Y32" s="11"/>
      <c r="Z32" s="12"/>
      <c r="AA32" s="16" t="s">
        <v>211</v>
      </c>
      <c r="AB32" s="17" t="str">
        <f>IFERROR(VLOOKUP(A32,'Go-No-Go'!$A:$M,12,0),"")</f>
        <v/>
      </c>
      <c r="AC32" s="18" t="str">
        <f>IFERROR(VLOOKUP(A32,'Go-No-Go'!$A:$N,14,0),"")</f>
        <v/>
      </c>
      <c r="AD32" s="19">
        <f t="shared" ca="1" si="1"/>
        <v>46.75</v>
      </c>
      <c r="AE32" s="20" t="str">
        <f t="shared" ca="1" si="2"/>
        <v>MISSING</v>
      </c>
      <c r="AF32" s="21" t="str">
        <f t="shared" ca="1" si="3"/>
        <v>[Pending-No Follow-Up Date] [Pending-No Follow-Up Owner]</v>
      </c>
    </row>
    <row r="33" spans="1:32" ht="18" customHeight="1" x14ac:dyDescent="0.25">
      <c r="A33" s="22" t="s">
        <v>212</v>
      </c>
      <c r="B33" s="22" t="s">
        <v>213</v>
      </c>
      <c r="C33" s="22" t="s">
        <v>88</v>
      </c>
      <c r="D33" s="22" t="s">
        <v>89</v>
      </c>
      <c r="E33" s="22" t="s">
        <v>29</v>
      </c>
      <c r="F33" s="22" t="s">
        <v>90</v>
      </c>
      <c r="G33" s="22" t="s">
        <v>91</v>
      </c>
      <c r="H33" s="22" t="s">
        <v>91</v>
      </c>
      <c r="I33" s="22" t="s">
        <v>40</v>
      </c>
      <c r="J33" s="22" t="s">
        <v>92</v>
      </c>
      <c r="K33" s="23">
        <v>46108.25</v>
      </c>
      <c r="L33" s="23"/>
      <c r="M33" s="23"/>
      <c r="N33" s="24">
        <v>115057</v>
      </c>
      <c r="O33" s="24">
        <v>166286</v>
      </c>
      <c r="P33" s="25">
        <f t="shared" si="0"/>
        <v>281343</v>
      </c>
      <c r="Q33" s="22" t="s">
        <v>93</v>
      </c>
      <c r="R33" s="24"/>
      <c r="S33" s="22"/>
      <c r="T33" s="24"/>
      <c r="U33" s="22"/>
      <c r="V33" s="23"/>
      <c r="W33" s="26">
        <v>0.5</v>
      </c>
      <c r="X33" s="23"/>
      <c r="Y33" s="22"/>
      <c r="Z33" s="23"/>
      <c r="AA33" s="27" t="s">
        <v>214</v>
      </c>
      <c r="AB33" s="28" t="str">
        <f>IFERROR(VLOOKUP(A33,'Go-No-Go'!$A:$M,12,0),"")</f>
        <v/>
      </c>
      <c r="AC33" s="29" t="str">
        <f>IFERROR(VLOOKUP(A33,'Go-No-Go'!$A:$N,14,0),"")</f>
        <v/>
      </c>
      <c r="AD33" s="30">
        <f t="shared" ca="1" si="1"/>
        <v>46.75</v>
      </c>
      <c r="AE33" s="31" t="str">
        <f t="shared" ca="1" si="2"/>
        <v>MISSING</v>
      </c>
      <c r="AF33" s="32" t="str">
        <f t="shared" ca="1" si="3"/>
        <v>[Pending-No Follow-Up Date] [Pending-No Follow-Up Owner]</v>
      </c>
    </row>
    <row r="34" spans="1:32" ht="18" customHeight="1" x14ac:dyDescent="0.25">
      <c r="A34" s="11" t="s">
        <v>215</v>
      </c>
      <c r="B34" s="11" t="s">
        <v>216</v>
      </c>
      <c r="C34" s="11" t="s">
        <v>143</v>
      </c>
      <c r="D34" s="11" t="s">
        <v>89</v>
      </c>
      <c r="E34" s="11" t="s">
        <v>29</v>
      </c>
      <c r="F34" s="11" t="s">
        <v>90</v>
      </c>
      <c r="G34" s="11" t="s">
        <v>91</v>
      </c>
      <c r="H34" s="11" t="s">
        <v>91</v>
      </c>
      <c r="I34" s="11" t="s">
        <v>40</v>
      </c>
      <c r="J34" s="11" t="s">
        <v>92</v>
      </c>
      <c r="K34" s="12">
        <v>46113.25</v>
      </c>
      <c r="L34" s="12"/>
      <c r="M34" s="12"/>
      <c r="N34" s="13">
        <v>135032</v>
      </c>
      <c r="O34" s="13">
        <v>70834</v>
      </c>
      <c r="P34" s="14">
        <f t="shared" ref="P34:P65" si="4">IFERROR(IF(AND(N34="",O34=""),"",IFERROR(N34,0)+IFERROR(O34,0)),"")</f>
        <v>205866</v>
      </c>
      <c r="Q34" s="11" t="s">
        <v>93</v>
      </c>
      <c r="R34" s="13"/>
      <c r="S34" s="11"/>
      <c r="T34" s="13"/>
      <c r="U34" s="11"/>
      <c r="V34" s="12"/>
      <c r="W34" s="15">
        <v>0.5</v>
      </c>
      <c r="X34" s="12"/>
      <c r="Y34" s="11"/>
      <c r="Z34" s="12"/>
      <c r="AA34" s="16" t="s">
        <v>144</v>
      </c>
      <c r="AB34" s="17" t="str">
        <f>IFERROR(VLOOKUP(A34,'Go-No-Go'!$A:$M,12,0),"")</f>
        <v/>
      </c>
      <c r="AC34" s="18" t="str">
        <f>IFERROR(VLOOKUP(A34,'Go-No-Go'!$A:$N,14,0),"")</f>
        <v/>
      </c>
      <c r="AD34" s="19">
        <f t="shared" ref="AD34:AD65" ca="1" si="5">IF(OR(Q34="Bid Submitted",Q34="Budget Submitted",Q34="ROM Submitted",Q34="In Progress"),IF(M34&lt;&gt;"",TODAY()-M34,IF(K34&lt;&gt;"",TODAY()-K34,"")),"")</f>
        <v>41.75</v>
      </c>
      <c r="AE34" s="20" t="str">
        <f t="shared" ref="AE34:AE65" ca="1" si="6">IF(AND(OR(Q34="Bid Submitted",Q34="Budget Submitted",Q34="ROM Submitted"),X34&lt;&gt;"",X34&lt;TODAY()),"OVERDUE",IF(AND(OR(Q34="Bid Submitted",Q34="Budget Submitted",Q34="ROM Submitted"),X34&lt;&gt;"",X34&lt;=TODAY()+3),"DUE SOON",IF(AND(OR(Q34="Bid Submitted",Q34="Budget Submitted",Q34="ROM Submitted"),X34=""),"MISSING","OK")))</f>
        <v>MISSING</v>
      </c>
      <c r="AF34" s="21" t="str">
        <f t="shared" ref="AF34:AF65" ca="1" si="7">IF(TRIM(IF(B34="","[Missing Project Name] ","")&amp;IF(C34="","[Missing GC] ","")&amp;IF(I34="","[Missing Plumb Estimator] ","")&amp;IF(AND(Q34&lt;&gt;"In Progress",Q34&lt;&gt;"No Bid",Q34&lt;&gt;"On Hold",P34=""),"[Missing Bid Amount] ","")&amp;IF(AND(Q34="Awarded",R34=""),"[Awarded-No Award Amount] ","")&amp;IF(AND(Q34="Lost",U34=""),"[Lost-No Lost Reason] ","")&amp;IF(AND(OR(Q34="Bid Submitted",Q34="Budget Submitted"),X34=""),"[Pending-No Follow-Up Date] ","")&amp;IF(AND(OR(Q34="Bid Submitted",Q34="Budget Submitted"),Y34=""),"[Pending-No Follow-Up Owner] ","")&amp;IF(AND(L34&lt;&gt;"",L34&lt;TODAY(),OR(Q34="In Progress",Q34="")),"[Bid Due Date Passed] ",""))="","OK",TRIM(IF(B34="","[Missing Project Name] ","")&amp;IF(C34="","[Missing GC] ","")&amp;IF(I34="","[Missing Plumb Estimator] ","")&amp;IF(AND(Q34&lt;&gt;"In Progress",Q34&lt;&gt;"No Bid",Q34&lt;&gt;"On Hold",P34=""),"[Missing Bid Amount] ","")&amp;IF(AND(Q34="Awarded",R34=""),"[Awarded-No Award Amount] ","")&amp;IF(AND(Q34="Lost",U34=""),"[Lost-No Lost Reason] ","")&amp;IF(AND(OR(Q34="Bid Submitted",Q34="Budget Submitted"),X34=""),"[Pending-No Follow-Up Date] ","")&amp;IF(AND(OR(Q34="Bid Submitted",Q34="Budget Submitted"),Y34=""),"[Pending-No Follow-Up Owner] ","")&amp;IF(AND(L34&lt;&gt;"",L34&lt;TODAY(),OR(Q34="In Progress",Q34="")),"[Bid Due Date Passed] ","")))</f>
        <v>[Pending-No Follow-Up Date] [Pending-No Follow-Up Owner]</v>
      </c>
    </row>
    <row r="35" spans="1:32" ht="18" customHeight="1" x14ac:dyDescent="0.25">
      <c r="A35" s="22" t="s">
        <v>217</v>
      </c>
      <c r="B35" s="22" t="s">
        <v>218</v>
      </c>
      <c r="C35" s="22" t="s">
        <v>196</v>
      </c>
      <c r="D35" s="22" t="s">
        <v>152</v>
      </c>
      <c r="E35" s="22" t="s">
        <v>20</v>
      </c>
      <c r="F35" s="22" t="s">
        <v>90</v>
      </c>
      <c r="G35" s="22" t="s">
        <v>91</v>
      </c>
      <c r="H35" s="22" t="s">
        <v>91</v>
      </c>
      <c r="I35" s="22" t="s">
        <v>42</v>
      </c>
      <c r="J35" s="22" t="s">
        <v>89</v>
      </c>
      <c r="K35" s="23">
        <v>46114.25</v>
      </c>
      <c r="L35" s="23"/>
      <c r="M35" s="23"/>
      <c r="N35" s="24">
        <v>73232</v>
      </c>
      <c r="O35" s="24">
        <v>17303</v>
      </c>
      <c r="P35" s="25">
        <f t="shared" si="4"/>
        <v>90535</v>
      </c>
      <c r="Q35" s="22" t="s">
        <v>93</v>
      </c>
      <c r="R35" s="24"/>
      <c r="S35" s="22"/>
      <c r="T35" s="24"/>
      <c r="U35" s="22"/>
      <c r="V35" s="23"/>
      <c r="W35" s="26">
        <v>0.5</v>
      </c>
      <c r="X35" s="23"/>
      <c r="Y35" s="22"/>
      <c r="Z35" s="23"/>
      <c r="AA35" s="27" t="s">
        <v>197</v>
      </c>
      <c r="AB35" s="28" t="str">
        <f>IFERROR(VLOOKUP(A35,'Go-No-Go'!$A:$M,12,0),"")</f>
        <v/>
      </c>
      <c r="AC35" s="29" t="str">
        <f>IFERROR(VLOOKUP(A35,'Go-No-Go'!$A:$N,14,0),"")</f>
        <v/>
      </c>
      <c r="AD35" s="30">
        <f t="shared" ca="1" si="5"/>
        <v>40.75</v>
      </c>
      <c r="AE35" s="31" t="str">
        <f t="shared" ca="1" si="6"/>
        <v>MISSING</v>
      </c>
      <c r="AF35" s="32" t="str">
        <f t="shared" ca="1" si="7"/>
        <v>[Pending-No Follow-Up Date] [Pending-No Follow-Up Owner]</v>
      </c>
    </row>
    <row r="36" spans="1:32" ht="18" customHeight="1" x14ac:dyDescent="0.25">
      <c r="A36" s="11" t="s">
        <v>219</v>
      </c>
      <c r="B36" s="11" t="s">
        <v>220</v>
      </c>
      <c r="C36" s="11" t="s">
        <v>221</v>
      </c>
      <c r="D36" s="11" t="s">
        <v>89</v>
      </c>
      <c r="E36" s="11" t="s">
        <v>26</v>
      </c>
      <c r="F36" s="11" t="s">
        <v>90</v>
      </c>
      <c r="G36" s="11" t="s">
        <v>91</v>
      </c>
      <c r="H36" s="11" t="s">
        <v>91</v>
      </c>
      <c r="I36" s="11" t="s">
        <v>42</v>
      </c>
      <c r="J36" s="11" t="s">
        <v>92</v>
      </c>
      <c r="K36" s="12">
        <v>46122.25</v>
      </c>
      <c r="L36" s="12"/>
      <c r="M36" s="12"/>
      <c r="N36" s="13">
        <v>8813255</v>
      </c>
      <c r="O36" s="13">
        <v>4172214</v>
      </c>
      <c r="P36" s="14">
        <f t="shared" si="4"/>
        <v>12985469</v>
      </c>
      <c r="Q36" s="11" t="s">
        <v>93</v>
      </c>
      <c r="R36" s="13"/>
      <c r="S36" s="11"/>
      <c r="T36" s="13"/>
      <c r="U36" s="11"/>
      <c r="V36" s="12"/>
      <c r="W36" s="15">
        <v>0.5</v>
      </c>
      <c r="X36" s="12"/>
      <c r="Y36" s="11"/>
      <c r="Z36" s="12"/>
      <c r="AA36" s="16" t="s">
        <v>222</v>
      </c>
      <c r="AB36" s="17" t="str">
        <f>IFERROR(VLOOKUP(A36,'Go-No-Go'!$A:$M,12,0),"")</f>
        <v/>
      </c>
      <c r="AC36" s="18" t="str">
        <f>IFERROR(VLOOKUP(A36,'Go-No-Go'!$A:$N,14,0),"")</f>
        <v/>
      </c>
      <c r="AD36" s="19">
        <f t="shared" ca="1" si="5"/>
        <v>32.75</v>
      </c>
      <c r="AE36" s="20" t="str">
        <f t="shared" ca="1" si="6"/>
        <v>MISSING</v>
      </c>
      <c r="AF36" s="21" t="str">
        <f t="shared" ca="1" si="7"/>
        <v>[Pending-No Follow-Up Date] [Pending-No Follow-Up Owner]</v>
      </c>
    </row>
    <row r="37" spans="1:32" ht="18" customHeight="1" x14ac:dyDescent="0.25">
      <c r="A37" s="22" t="s">
        <v>223</v>
      </c>
      <c r="B37" s="22" t="s">
        <v>224</v>
      </c>
      <c r="C37" s="22" t="s">
        <v>225</v>
      </c>
      <c r="D37" s="22" t="s">
        <v>89</v>
      </c>
      <c r="E37" s="22" t="s">
        <v>29</v>
      </c>
      <c r="F37" s="22" t="s">
        <v>132</v>
      </c>
      <c r="G37" s="22" t="s">
        <v>91</v>
      </c>
      <c r="H37" s="22" t="s">
        <v>91</v>
      </c>
      <c r="I37" s="22" t="s">
        <v>42</v>
      </c>
      <c r="J37" s="22" t="s">
        <v>89</v>
      </c>
      <c r="K37" s="23">
        <v>46118.25</v>
      </c>
      <c r="L37" s="23"/>
      <c r="M37" s="23"/>
      <c r="N37" s="24">
        <v>645427</v>
      </c>
      <c r="O37" s="24"/>
      <c r="P37" s="25">
        <f t="shared" si="4"/>
        <v>645427</v>
      </c>
      <c r="Q37" s="22" t="s">
        <v>39</v>
      </c>
      <c r="R37" s="24"/>
      <c r="S37" s="22"/>
      <c r="T37" s="24"/>
      <c r="U37" s="22"/>
      <c r="V37" s="23"/>
      <c r="W37" s="26">
        <v>0</v>
      </c>
      <c r="X37" s="23"/>
      <c r="Y37" s="22"/>
      <c r="Z37" s="23"/>
      <c r="AA37" s="27" t="s">
        <v>226</v>
      </c>
      <c r="AB37" s="28" t="str">
        <f>IFERROR(VLOOKUP(A37,'Go-No-Go'!$A:$M,12,0),"")</f>
        <v/>
      </c>
      <c r="AC37" s="29" t="str">
        <f>IFERROR(VLOOKUP(A37,'Go-No-Go'!$A:$N,14,0),"")</f>
        <v/>
      </c>
      <c r="AD37" s="30" t="str">
        <f t="shared" ca="1" si="5"/>
        <v/>
      </c>
      <c r="AE37" s="31" t="str">
        <f t="shared" ca="1" si="6"/>
        <v>OK</v>
      </c>
      <c r="AF37" s="32" t="str">
        <f t="shared" ca="1" si="7"/>
        <v>[Lost-No Lost Reason]</v>
      </c>
    </row>
    <row r="38" spans="1:32" ht="18" customHeight="1" x14ac:dyDescent="0.25">
      <c r="A38" s="11" t="s">
        <v>227</v>
      </c>
      <c r="B38" s="11" t="s">
        <v>228</v>
      </c>
      <c r="C38" s="11" t="s">
        <v>229</v>
      </c>
      <c r="D38" s="11" t="s">
        <v>89</v>
      </c>
      <c r="E38" s="11" t="s">
        <v>29</v>
      </c>
      <c r="F38" s="11" t="s">
        <v>90</v>
      </c>
      <c r="G38" s="11" t="s">
        <v>91</v>
      </c>
      <c r="H38" s="11" t="s">
        <v>91</v>
      </c>
      <c r="I38" s="11" t="s">
        <v>42</v>
      </c>
      <c r="J38" s="11" t="s">
        <v>92</v>
      </c>
      <c r="K38" s="12">
        <v>46121.25</v>
      </c>
      <c r="L38" s="12"/>
      <c r="M38" s="12"/>
      <c r="N38" s="13">
        <v>311643</v>
      </c>
      <c r="O38" s="13"/>
      <c r="P38" s="14">
        <f t="shared" si="4"/>
        <v>311643</v>
      </c>
      <c r="Q38" s="11" t="s">
        <v>39</v>
      </c>
      <c r="R38" s="13"/>
      <c r="S38" s="11"/>
      <c r="T38" s="13"/>
      <c r="U38" s="11"/>
      <c r="V38" s="12"/>
      <c r="W38" s="15">
        <v>0</v>
      </c>
      <c r="X38" s="12"/>
      <c r="Y38" s="11"/>
      <c r="Z38" s="12"/>
      <c r="AA38" s="16" t="s">
        <v>230</v>
      </c>
      <c r="AB38" s="17" t="str">
        <f>IFERROR(VLOOKUP(A38,'Go-No-Go'!$A:$M,12,0),"")</f>
        <v/>
      </c>
      <c r="AC38" s="18" t="str">
        <f>IFERROR(VLOOKUP(A38,'Go-No-Go'!$A:$N,14,0),"")</f>
        <v/>
      </c>
      <c r="AD38" s="19" t="str">
        <f t="shared" ca="1" si="5"/>
        <v/>
      </c>
      <c r="AE38" s="20" t="str">
        <f t="shared" ca="1" si="6"/>
        <v>OK</v>
      </c>
      <c r="AF38" s="21" t="str">
        <f t="shared" ca="1" si="7"/>
        <v>[Lost-No Lost Reason]</v>
      </c>
    </row>
    <row r="39" spans="1:32" ht="18" customHeight="1" x14ac:dyDescent="0.25">
      <c r="A39" s="22" t="s">
        <v>231</v>
      </c>
      <c r="B39" s="22" t="s">
        <v>232</v>
      </c>
      <c r="C39" s="22" t="s">
        <v>196</v>
      </c>
      <c r="D39" s="22" t="s">
        <v>152</v>
      </c>
      <c r="E39" s="22" t="s">
        <v>23</v>
      </c>
      <c r="F39" s="22" t="s">
        <v>233</v>
      </c>
      <c r="G39" s="22" t="s">
        <v>234</v>
      </c>
      <c r="H39" s="22" t="s">
        <v>235</v>
      </c>
      <c r="I39" s="22" t="s">
        <v>89</v>
      </c>
      <c r="J39" s="22" t="s">
        <v>42</v>
      </c>
      <c r="K39" s="23">
        <v>46132.25</v>
      </c>
      <c r="L39" s="23"/>
      <c r="M39" s="23"/>
      <c r="N39" s="24"/>
      <c r="O39" s="24">
        <v>28000</v>
      </c>
      <c r="P39" s="25">
        <f t="shared" si="4"/>
        <v>28000</v>
      </c>
      <c r="Q39" s="22" t="s">
        <v>39</v>
      </c>
      <c r="R39" s="24"/>
      <c r="S39" s="22"/>
      <c r="T39" s="24"/>
      <c r="U39" s="22"/>
      <c r="V39" s="23"/>
      <c r="W39" s="26">
        <v>0</v>
      </c>
      <c r="X39" s="23"/>
      <c r="Y39" s="22"/>
      <c r="Z39" s="23"/>
      <c r="AA39" s="27" t="s">
        <v>197</v>
      </c>
      <c r="AB39" s="28" t="str">
        <f>IFERROR(VLOOKUP(A39,'Go-No-Go'!$A:$M,12,0),"")</f>
        <v/>
      </c>
      <c r="AC39" s="29" t="str">
        <f>IFERROR(VLOOKUP(A39,'Go-No-Go'!$A:$N,14,0),"")</f>
        <v/>
      </c>
      <c r="AD39" s="30" t="str">
        <f t="shared" ca="1" si="5"/>
        <v/>
      </c>
      <c r="AE39" s="31" t="str">
        <f t="shared" ca="1" si="6"/>
        <v>OK</v>
      </c>
      <c r="AF39" s="32" t="str">
        <f t="shared" ca="1" si="7"/>
        <v>[Missing Plumb Estimator] [Lost-No Lost Reason]</v>
      </c>
    </row>
    <row r="40" spans="1:32" ht="18" customHeight="1" x14ac:dyDescent="0.25">
      <c r="A40" s="11" t="s">
        <v>236</v>
      </c>
      <c r="B40" s="11" t="s">
        <v>237</v>
      </c>
      <c r="C40" s="11" t="s">
        <v>101</v>
      </c>
      <c r="D40" s="11" t="s">
        <v>152</v>
      </c>
      <c r="E40" s="11" t="s">
        <v>23</v>
      </c>
      <c r="F40" s="11" t="s">
        <v>90</v>
      </c>
      <c r="G40" s="11" t="s">
        <v>91</v>
      </c>
      <c r="H40" s="11" t="s">
        <v>91</v>
      </c>
      <c r="I40" s="11" t="s">
        <v>42</v>
      </c>
      <c r="J40" s="11" t="s">
        <v>92</v>
      </c>
      <c r="K40" s="12">
        <v>46146.25</v>
      </c>
      <c r="L40" s="12"/>
      <c r="M40" s="12"/>
      <c r="N40" s="13">
        <v>1358760</v>
      </c>
      <c r="O40" s="13">
        <v>960690</v>
      </c>
      <c r="P40" s="14">
        <f t="shared" si="4"/>
        <v>2319450</v>
      </c>
      <c r="Q40" s="11" t="s">
        <v>93</v>
      </c>
      <c r="R40" s="13"/>
      <c r="S40" s="11"/>
      <c r="T40" s="13"/>
      <c r="U40" s="11"/>
      <c r="V40" s="12"/>
      <c r="W40" s="15">
        <v>0.5</v>
      </c>
      <c r="X40" s="12"/>
      <c r="Y40" s="11"/>
      <c r="Z40" s="12"/>
      <c r="AA40" s="16" t="s">
        <v>182</v>
      </c>
      <c r="AB40" s="17" t="str">
        <f>IFERROR(VLOOKUP(A40,'Go-No-Go'!$A:$M,12,0),"")</f>
        <v/>
      </c>
      <c r="AC40" s="18" t="str">
        <f>IFERROR(VLOOKUP(A40,'Go-No-Go'!$A:$N,14,0),"")</f>
        <v/>
      </c>
      <c r="AD40" s="19">
        <f t="shared" ca="1" si="5"/>
        <v>8.75</v>
      </c>
      <c r="AE40" s="20" t="str">
        <f t="shared" ca="1" si="6"/>
        <v>MISSING</v>
      </c>
      <c r="AF40" s="21" t="str">
        <f t="shared" ca="1" si="7"/>
        <v>[Pending-No Follow-Up Date] [Pending-No Follow-Up Owner]</v>
      </c>
    </row>
    <row r="41" spans="1:32" ht="18" customHeight="1" x14ac:dyDescent="0.25">
      <c r="A41" s="22" t="s">
        <v>238</v>
      </c>
      <c r="B41" s="22" t="s">
        <v>239</v>
      </c>
      <c r="C41" s="22" t="s">
        <v>240</v>
      </c>
      <c r="D41" s="22" t="s">
        <v>89</v>
      </c>
      <c r="E41" s="22" t="s">
        <v>20</v>
      </c>
      <c r="F41" s="22" t="s">
        <v>90</v>
      </c>
      <c r="G41" s="22" t="s">
        <v>91</v>
      </c>
      <c r="H41" s="22" t="s">
        <v>91</v>
      </c>
      <c r="I41" s="22" t="s">
        <v>42</v>
      </c>
      <c r="J41" s="22" t="s">
        <v>92</v>
      </c>
      <c r="K41" s="23">
        <v>46142.25</v>
      </c>
      <c r="L41" s="23"/>
      <c r="M41" s="23"/>
      <c r="N41" s="24">
        <v>313879</v>
      </c>
      <c r="O41" s="24">
        <v>543475</v>
      </c>
      <c r="P41" s="25">
        <f t="shared" si="4"/>
        <v>857354</v>
      </c>
      <c r="Q41" s="22" t="s">
        <v>93</v>
      </c>
      <c r="R41" s="24"/>
      <c r="S41" s="22"/>
      <c r="T41" s="24"/>
      <c r="U41" s="22"/>
      <c r="V41" s="23"/>
      <c r="W41" s="26">
        <v>0.5</v>
      </c>
      <c r="X41" s="23"/>
      <c r="Y41" s="22"/>
      <c r="Z41" s="23"/>
      <c r="AA41" s="27" t="s">
        <v>241</v>
      </c>
      <c r="AB41" s="28" t="str">
        <f>IFERROR(VLOOKUP(A41,'Go-No-Go'!$A:$M,12,0),"")</f>
        <v/>
      </c>
      <c r="AC41" s="29" t="str">
        <f>IFERROR(VLOOKUP(A41,'Go-No-Go'!$A:$N,14,0),"")</f>
        <v/>
      </c>
      <c r="AD41" s="30">
        <f t="shared" ca="1" si="5"/>
        <v>12.75</v>
      </c>
      <c r="AE41" s="31" t="str">
        <f t="shared" ca="1" si="6"/>
        <v>MISSING</v>
      </c>
      <c r="AF41" s="32" t="str">
        <f t="shared" ca="1" si="7"/>
        <v>[Pending-No Follow-Up Date] [Pending-No Follow-Up Owner]</v>
      </c>
    </row>
    <row r="42" spans="1:32" ht="18" customHeight="1" x14ac:dyDescent="0.25">
      <c r="A42" s="11" t="s">
        <v>242</v>
      </c>
      <c r="B42" s="11" t="s">
        <v>243</v>
      </c>
      <c r="C42" s="11" t="s">
        <v>244</v>
      </c>
      <c r="D42" s="11" t="s">
        <v>89</v>
      </c>
      <c r="E42" s="11" t="s">
        <v>27</v>
      </c>
      <c r="F42" s="11" t="s">
        <v>245</v>
      </c>
      <c r="G42" s="11" t="s">
        <v>234</v>
      </c>
      <c r="H42" s="11" t="s">
        <v>235</v>
      </c>
      <c r="I42" s="11" t="s">
        <v>43</v>
      </c>
      <c r="J42" s="11" t="s">
        <v>89</v>
      </c>
      <c r="K42" s="12">
        <v>46094.25</v>
      </c>
      <c r="L42" s="12"/>
      <c r="M42" s="12"/>
      <c r="N42" s="13">
        <v>11897000</v>
      </c>
      <c r="O42" s="13"/>
      <c r="P42" s="14">
        <f t="shared" si="4"/>
        <v>11897000</v>
      </c>
      <c r="Q42" s="11" t="s">
        <v>93</v>
      </c>
      <c r="R42" s="13"/>
      <c r="S42" s="11"/>
      <c r="T42" s="13"/>
      <c r="U42" s="11"/>
      <c r="V42" s="12"/>
      <c r="W42" s="15">
        <v>0.5</v>
      </c>
      <c r="X42" s="12"/>
      <c r="Y42" s="11"/>
      <c r="Z42" s="12"/>
      <c r="AA42" s="16" t="s">
        <v>246</v>
      </c>
      <c r="AB42" s="17" t="str">
        <f>IFERROR(VLOOKUP(A42,'Go-No-Go'!$A:$M,12,0),"")</f>
        <v/>
      </c>
      <c r="AC42" s="18" t="str">
        <f>IFERROR(VLOOKUP(A42,'Go-No-Go'!$A:$N,14,0),"")</f>
        <v/>
      </c>
      <c r="AD42" s="19">
        <f t="shared" ca="1" si="5"/>
        <v>60.75</v>
      </c>
      <c r="AE42" s="20" t="str">
        <f t="shared" ca="1" si="6"/>
        <v>MISSING</v>
      </c>
      <c r="AF42" s="21" t="str">
        <f t="shared" ca="1" si="7"/>
        <v>[Pending-No Follow-Up Date] [Pending-No Follow-Up Owner]</v>
      </c>
    </row>
    <row r="43" spans="1:32" ht="18" customHeight="1" x14ac:dyDescent="0.25">
      <c r="A43" s="22" t="s">
        <v>247</v>
      </c>
      <c r="B43" s="22" t="s">
        <v>248</v>
      </c>
      <c r="C43" s="22" t="s">
        <v>249</v>
      </c>
      <c r="D43" s="22" t="s">
        <v>89</v>
      </c>
      <c r="E43" s="22" t="s">
        <v>25</v>
      </c>
      <c r="F43" s="22" t="s">
        <v>90</v>
      </c>
      <c r="G43" s="22" t="s">
        <v>234</v>
      </c>
      <c r="H43" s="22" t="s">
        <v>235</v>
      </c>
      <c r="I43" s="22" t="s">
        <v>43</v>
      </c>
      <c r="J43" s="22" t="s">
        <v>89</v>
      </c>
      <c r="K43" s="23">
        <v>46135.25</v>
      </c>
      <c r="L43" s="23"/>
      <c r="M43" s="23"/>
      <c r="N43" s="24">
        <v>1950000</v>
      </c>
      <c r="O43" s="24"/>
      <c r="P43" s="25">
        <f t="shared" si="4"/>
        <v>1950000</v>
      </c>
      <c r="Q43" s="22" t="s">
        <v>93</v>
      </c>
      <c r="R43" s="24"/>
      <c r="S43" s="22"/>
      <c r="T43" s="24"/>
      <c r="U43" s="22"/>
      <c r="V43" s="23"/>
      <c r="W43" s="26">
        <v>0.5</v>
      </c>
      <c r="X43" s="23"/>
      <c r="Y43" s="22"/>
      <c r="Z43" s="23"/>
      <c r="AA43" s="27" t="s">
        <v>250</v>
      </c>
      <c r="AB43" s="28" t="str">
        <f>IFERROR(VLOOKUP(A43,'Go-No-Go'!$A:$M,12,0),"")</f>
        <v/>
      </c>
      <c r="AC43" s="29" t="str">
        <f>IFERROR(VLOOKUP(A43,'Go-No-Go'!$A:$N,14,0),"")</f>
        <v/>
      </c>
      <c r="AD43" s="30">
        <f t="shared" ca="1" si="5"/>
        <v>19.75</v>
      </c>
      <c r="AE43" s="31" t="str">
        <f t="shared" ca="1" si="6"/>
        <v>MISSING</v>
      </c>
      <c r="AF43" s="32" t="str">
        <f t="shared" ca="1" si="7"/>
        <v>[Pending-No Follow-Up Date] [Pending-No Follow-Up Owner]</v>
      </c>
    </row>
    <row r="44" spans="1:32" ht="18" customHeight="1" x14ac:dyDescent="0.25">
      <c r="A44" s="11" t="s">
        <v>251</v>
      </c>
      <c r="B44" s="11" t="s">
        <v>252</v>
      </c>
      <c r="C44" s="11" t="s">
        <v>147</v>
      </c>
      <c r="D44" s="11" t="s">
        <v>165</v>
      </c>
      <c r="E44" s="11" t="s">
        <v>29</v>
      </c>
      <c r="F44" s="11" t="s">
        <v>90</v>
      </c>
      <c r="G44" s="11" t="s">
        <v>91</v>
      </c>
      <c r="H44" s="11" t="s">
        <v>91</v>
      </c>
      <c r="I44" s="11" t="s">
        <v>40</v>
      </c>
      <c r="J44" s="11" t="s">
        <v>44</v>
      </c>
      <c r="K44" s="12">
        <v>46132.25</v>
      </c>
      <c r="L44" s="12"/>
      <c r="M44" s="12"/>
      <c r="N44" s="13">
        <v>885352</v>
      </c>
      <c r="O44" s="13"/>
      <c r="P44" s="14">
        <f t="shared" si="4"/>
        <v>885352</v>
      </c>
      <c r="Q44" s="11" t="s">
        <v>253</v>
      </c>
      <c r="R44" s="13"/>
      <c r="S44" s="11"/>
      <c r="T44" s="13"/>
      <c r="U44" s="11"/>
      <c r="V44" s="12"/>
      <c r="W44" s="15">
        <v>0.25</v>
      </c>
      <c r="X44" s="12"/>
      <c r="Y44" s="11"/>
      <c r="Z44" s="12"/>
      <c r="AA44" s="16" t="s">
        <v>149</v>
      </c>
      <c r="AB44" s="17" t="str">
        <f>IFERROR(VLOOKUP(A44,'Go-No-Go'!$A:$M,12,0),"")</f>
        <v/>
      </c>
      <c r="AC44" s="18" t="str">
        <f>IFERROR(VLOOKUP(A44,'Go-No-Go'!$A:$N,14,0),"")</f>
        <v/>
      </c>
      <c r="AD44" s="19">
        <f t="shared" ca="1" si="5"/>
        <v>22.75</v>
      </c>
      <c r="AE44" s="20" t="str">
        <f t="shared" ca="1" si="6"/>
        <v>OK</v>
      </c>
      <c r="AF44" s="21" t="str">
        <f t="shared" ca="1" si="7"/>
        <v>OK</v>
      </c>
    </row>
    <row r="45" spans="1:32" ht="18" customHeight="1" x14ac:dyDescent="0.25">
      <c r="A45" s="22" t="s">
        <v>254</v>
      </c>
      <c r="B45" s="22" t="s">
        <v>255</v>
      </c>
      <c r="C45" s="22" t="s">
        <v>155</v>
      </c>
      <c r="D45" s="22" t="s">
        <v>256</v>
      </c>
      <c r="E45" s="22" t="s">
        <v>24</v>
      </c>
      <c r="F45" s="22" t="s">
        <v>90</v>
      </c>
      <c r="G45" s="22" t="s">
        <v>91</v>
      </c>
      <c r="H45" s="22" t="s">
        <v>91</v>
      </c>
      <c r="I45" s="22" t="s">
        <v>40</v>
      </c>
      <c r="J45" s="22" t="s">
        <v>92</v>
      </c>
      <c r="K45" s="23">
        <v>46118.25</v>
      </c>
      <c r="L45" s="23"/>
      <c r="M45" s="23"/>
      <c r="N45" s="24"/>
      <c r="O45" s="24"/>
      <c r="P45" s="25" t="str">
        <f t="shared" si="4"/>
        <v/>
      </c>
      <c r="Q45" s="22" t="s">
        <v>253</v>
      </c>
      <c r="R45" s="24"/>
      <c r="S45" s="22"/>
      <c r="T45" s="24"/>
      <c r="U45" s="22"/>
      <c r="V45" s="23"/>
      <c r="W45" s="26">
        <v>0.25</v>
      </c>
      <c r="X45" s="23"/>
      <c r="Y45" s="22"/>
      <c r="Z45" s="23"/>
      <c r="AA45" s="27" t="s">
        <v>156</v>
      </c>
      <c r="AB45" s="28" t="str">
        <f>IFERROR(VLOOKUP(A45,'Go-No-Go'!$A:$M,12,0),"")</f>
        <v/>
      </c>
      <c r="AC45" s="29" t="str">
        <f>IFERROR(VLOOKUP(A45,'Go-No-Go'!$A:$N,14,0),"")</f>
        <v/>
      </c>
      <c r="AD45" s="30">
        <f t="shared" ca="1" si="5"/>
        <v>36.75</v>
      </c>
      <c r="AE45" s="31" t="str">
        <f t="shared" ca="1" si="6"/>
        <v>OK</v>
      </c>
      <c r="AF45" s="32" t="str">
        <f t="shared" ca="1" si="7"/>
        <v>OK</v>
      </c>
    </row>
    <row r="46" spans="1:32" ht="18" customHeight="1" x14ac:dyDescent="0.25">
      <c r="A46" s="11" t="s">
        <v>257</v>
      </c>
      <c r="B46" s="11" t="s">
        <v>258</v>
      </c>
      <c r="C46" s="11" t="s">
        <v>200</v>
      </c>
      <c r="D46" s="11" t="s">
        <v>89</v>
      </c>
      <c r="E46" s="11" t="s">
        <v>29</v>
      </c>
      <c r="F46" s="11" t="s">
        <v>90</v>
      </c>
      <c r="G46" s="11" t="s">
        <v>91</v>
      </c>
      <c r="H46" s="11" t="s">
        <v>91</v>
      </c>
      <c r="I46" s="11" t="s">
        <v>40</v>
      </c>
      <c r="J46" s="11" t="s">
        <v>92</v>
      </c>
      <c r="K46" s="12">
        <v>46121.25</v>
      </c>
      <c r="L46" s="12"/>
      <c r="M46" s="12"/>
      <c r="N46" s="13"/>
      <c r="O46" s="13"/>
      <c r="P46" s="14" t="str">
        <f t="shared" si="4"/>
        <v/>
      </c>
      <c r="Q46" s="11" t="s">
        <v>253</v>
      </c>
      <c r="R46" s="13"/>
      <c r="S46" s="11"/>
      <c r="T46" s="13"/>
      <c r="U46" s="11"/>
      <c r="V46" s="12"/>
      <c r="W46" s="15">
        <v>0.25</v>
      </c>
      <c r="X46" s="12"/>
      <c r="Y46" s="11"/>
      <c r="Z46" s="12"/>
      <c r="AA46" s="16" t="s">
        <v>259</v>
      </c>
      <c r="AB46" s="17" t="str">
        <f>IFERROR(VLOOKUP(A46,'Go-No-Go'!$A:$M,12,0),"")</f>
        <v/>
      </c>
      <c r="AC46" s="18" t="str">
        <f>IFERROR(VLOOKUP(A46,'Go-No-Go'!$A:$N,14,0),"")</f>
        <v/>
      </c>
      <c r="AD46" s="19">
        <f t="shared" ca="1" si="5"/>
        <v>33.75</v>
      </c>
      <c r="AE46" s="20" t="str">
        <f t="shared" ca="1" si="6"/>
        <v>OK</v>
      </c>
      <c r="AF46" s="21" t="str">
        <f t="shared" ca="1" si="7"/>
        <v>OK</v>
      </c>
    </row>
    <row r="47" spans="1:32" ht="18" customHeight="1" x14ac:dyDescent="0.25">
      <c r="A47" s="22" t="s">
        <v>260</v>
      </c>
      <c r="B47" s="22" t="s">
        <v>261</v>
      </c>
      <c r="C47" s="22" t="s">
        <v>101</v>
      </c>
      <c r="D47" s="22" t="s">
        <v>165</v>
      </c>
      <c r="E47" s="22" t="s">
        <v>29</v>
      </c>
      <c r="F47" s="22" t="s">
        <v>90</v>
      </c>
      <c r="G47" s="22" t="s">
        <v>91</v>
      </c>
      <c r="H47" s="22" t="s">
        <v>91</v>
      </c>
      <c r="I47" s="22" t="s">
        <v>40</v>
      </c>
      <c r="J47" s="22" t="s">
        <v>92</v>
      </c>
      <c r="K47" s="23">
        <v>46119.25</v>
      </c>
      <c r="L47" s="23"/>
      <c r="M47" s="23"/>
      <c r="N47" s="24">
        <v>599945</v>
      </c>
      <c r="O47" s="24">
        <v>484763</v>
      </c>
      <c r="P47" s="25">
        <f t="shared" si="4"/>
        <v>1084708</v>
      </c>
      <c r="Q47" s="22" t="s">
        <v>39</v>
      </c>
      <c r="R47" s="24"/>
      <c r="S47" s="22" t="s">
        <v>262</v>
      </c>
      <c r="T47" s="24">
        <v>922708</v>
      </c>
      <c r="U47" s="22" t="s">
        <v>49</v>
      </c>
      <c r="V47" s="23"/>
      <c r="W47" s="26">
        <v>0</v>
      </c>
      <c r="X47" s="23"/>
      <c r="Y47" s="22"/>
      <c r="Z47" s="23">
        <v>46147.25</v>
      </c>
      <c r="AA47" s="27" t="s">
        <v>182</v>
      </c>
      <c r="AB47" s="28" t="str">
        <f>IFERROR(VLOOKUP(A47,'Go-No-Go'!$A:$M,12,0),"")</f>
        <v/>
      </c>
      <c r="AC47" s="29" t="str">
        <f>IFERROR(VLOOKUP(A47,'Go-No-Go'!$A:$N,14,0),"")</f>
        <v/>
      </c>
      <c r="AD47" s="30" t="str">
        <f t="shared" ca="1" si="5"/>
        <v/>
      </c>
      <c r="AE47" s="31" t="str">
        <f t="shared" ca="1" si="6"/>
        <v>OK</v>
      </c>
      <c r="AF47" s="32" t="str">
        <f t="shared" ca="1" si="7"/>
        <v>OK</v>
      </c>
    </row>
    <row r="48" spans="1:32" ht="18" customHeight="1" x14ac:dyDescent="0.25">
      <c r="A48" s="11" t="s">
        <v>263</v>
      </c>
      <c r="B48" s="11" t="s">
        <v>264</v>
      </c>
      <c r="C48" s="11" t="s">
        <v>265</v>
      </c>
      <c r="D48" s="11" t="s">
        <v>89</v>
      </c>
      <c r="E48" s="11" t="s">
        <v>29</v>
      </c>
      <c r="F48" s="11" t="s">
        <v>90</v>
      </c>
      <c r="G48" s="11" t="s">
        <v>266</v>
      </c>
      <c r="H48" s="11" t="s">
        <v>266</v>
      </c>
      <c r="I48" s="11" t="s">
        <v>40</v>
      </c>
      <c r="J48" s="11" t="s">
        <v>92</v>
      </c>
      <c r="K48" s="12">
        <v>46096.25</v>
      </c>
      <c r="L48" s="12"/>
      <c r="M48" s="12"/>
      <c r="N48" s="13">
        <v>247641</v>
      </c>
      <c r="O48" s="13">
        <v>341169</v>
      </c>
      <c r="P48" s="14">
        <f t="shared" si="4"/>
        <v>588810</v>
      </c>
      <c r="Q48" s="11" t="s">
        <v>39</v>
      </c>
      <c r="R48" s="13"/>
      <c r="S48" s="11" t="s">
        <v>267</v>
      </c>
      <c r="T48" s="13">
        <v>588810</v>
      </c>
      <c r="U48" s="11" t="s">
        <v>48</v>
      </c>
      <c r="V48" s="12"/>
      <c r="W48" s="15">
        <v>0</v>
      </c>
      <c r="X48" s="12"/>
      <c r="Y48" s="11"/>
      <c r="Z48" s="12">
        <v>46126.25</v>
      </c>
      <c r="AA48" s="16" t="s">
        <v>268</v>
      </c>
      <c r="AB48" s="17" t="str">
        <f>IFERROR(VLOOKUP(A48,'Go-No-Go'!$A:$M,12,0),"")</f>
        <v/>
      </c>
      <c r="AC48" s="18" t="str">
        <f>IFERROR(VLOOKUP(A48,'Go-No-Go'!$A:$N,14,0),"")</f>
        <v/>
      </c>
      <c r="AD48" s="19" t="str">
        <f t="shared" ca="1" si="5"/>
        <v/>
      </c>
      <c r="AE48" s="20" t="str">
        <f t="shared" ca="1" si="6"/>
        <v>OK</v>
      </c>
      <c r="AF48" s="21" t="str">
        <f t="shared" ca="1" si="7"/>
        <v>OK</v>
      </c>
    </row>
    <row r="49" spans="1:32" ht="18" customHeight="1" x14ac:dyDescent="0.25">
      <c r="A49" s="22" t="s">
        <v>269</v>
      </c>
      <c r="B49" s="22" t="s">
        <v>270</v>
      </c>
      <c r="C49" s="22" t="s">
        <v>89</v>
      </c>
      <c r="D49" s="22" t="s">
        <v>89</v>
      </c>
      <c r="E49" s="22" t="s">
        <v>27</v>
      </c>
      <c r="F49" s="22" t="s">
        <v>90</v>
      </c>
      <c r="G49" s="22" t="s">
        <v>91</v>
      </c>
      <c r="H49" s="22" t="s">
        <v>91</v>
      </c>
      <c r="I49" s="22" t="s">
        <v>41</v>
      </c>
      <c r="J49" s="22" t="s">
        <v>92</v>
      </c>
      <c r="K49" s="23">
        <v>45957.25</v>
      </c>
      <c r="L49" s="23"/>
      <c r="M49" s="23"/>
      <c r="N49" s="24">
        <v>927548</v>
      </c>
      <c r="O49" s="24">
        <v>1330682</v>
      </c>
      <c r="P49" s="25">
        <f t="shared" si="4"/>
        <v>2258230</v>
      </c>
      <c r="Q49" s="22" t="s">
        <v>38</v>
      </c>
      <c r="R49" s="24">
        <v>927548</v>
      </c>
      <c r="S49" s="22"/>
      <c r="T49" s="24"/>
      <c r="U49" s="22"/>
      <c r="V49" s="23"/>
      <c r="W49" s="26">
        <v>1</v>
      </c>
      <c r="X49" s="23"/>
      <c r="Y49" s="22"/>
      <c r="Z49" s="23">
        <v>46062.291666666672</v>
      </c>
      <c r="AA49" s="27" t="s">
        <v>271</v>
      </c>
      <c r="AB49" s="28" t="str">
        <f>IFERROR(VLOOKUP(A49,'Go-No-Go'!$A:$M,12,0),"")</f>
        <v/>
      </c>
      <c r="AC49" s="29" t="str">
        <f>IFERROR(VLOOKUP(A49,'Go-No-Go'!$A:$N,14,0),"")</f>
        <v/>
      </c>
      <c r="AD49" s="30" t="str">
        <f t="shared" ca="1" si="5"/>
        <v/>
      </c>
      <c r="AE49" s="31" t="str">
        <f t="shared" ca="1" si="6"/>
        <v>OK</v>
      </c>
      <c r="AF49" s="32" t="str">
        <f t="shared" ca="1" si="7"/>
        <v>[Missing GC]</v>
      </c>
    </row>
    <row r="50" spans="1:32" ht="18" customHeight="1" x14ac:dyDescent="0.25">
      <c r="A50" s="11" t="s">
        <v>272</v>
      </c>
      <c r="B50" s="11" t="s">
        <v>273</v>
      </c>
      <c r="C50" s="11" t="s">
        <v>89</v>
      </c>
      <c r="D50" s="11" t="s">
        <v>89</v>
      </c>
      <c r="E50" s="11" t="s">
        <v>27</v>
      </c>
      <c r="F50" s="11" t="s">
        <v>90</v>
      </c>
      <c r="G50" s="11" t="s">
        <v>91</v>
      </c>
      <c r="H50" s="11" t="s">
        <v>91</v>
      </c>
      <c r="I50" s="11" t="s">
        <v>41</v>
      </c>
      <c r="J50" s="11" t="s">
        <v>92</v>
      </c>
      <c r="K50" s="12">
        <v>45992.291666666672</v>
      </c>
      <c r="L50" s="12"/>
      <c r="M50" s="12"/>
      <c r="N50" s="13">
        <v>2240430</v>
      </c>
      <c r="O50" s="13">
        <v>3245170</v>
      </c>
      <c r="P50" s="14">
        <f t="shared" si="4"/>
        <v>5485600</v>
      </c>
      <c r="Q50" s="11" t="s">
        <v>93</v>
      </c>
      <c r="R50" s="13"/>
      <c r="S50" s="11"/>
      <c r="T50" s="13"/>
      <c r="U50" s="11"/>
      <c r="V50" s="12"/>
      <c r="W50" s="15">
        <v>0.5</v>
      </c>
      <c r="X50" s="12"/>
      <c r="Y50" s="11"/>
      <c r="Z50" s="12"/>
      <c r="AA50" s="16" t="s">
        <v>89</v>
      </c>
      <c r="AB50" s="17" t="str">
        <f>IFERROR(VLOOKUP(A50,'Go-No-Go'!$A:$M,12,0),"")</f>
        <v/>
      </c>
      <c r="AC50" s="18" t="str">
        <f>IFERROR(VLOOKUP(A50,'Go-No-Go'!$A:$N,14,0),"")</f>
        <v/>
      </c>
      <c r="AD50" s="19">
        <f t="shared" ca="1" si="5"/>
        <v>162.70833333332848</v>
      </c>
      <c r="AE50" s="20" t="str">
        <f t="shared" ca="1" si="6"/>
        <v>MISSING</v>
      </c>
      <c r="AF50" s="21" t="str">
        <f t="shared" ca="1" si="7"/>
        <v>[Missing GC] [Pending-No Follow-Up Date] [Pending-No Follow-Up Owner]</v>
      </c>
    </row>
    <row r="51" spans="1:32" ht="18" customHeight="1" x14ac:dyDescent="0.25">
      <c r="A51" s="22" t="s">
        <v>274</v>
      </c>
      <c r="B51" s="22" t="s">
        <v>275</v>
      </c>
      <c r="C51" s="22" t="s">
        <v>89</v>
      </c>
      <c r="D51" s="22" t="s">
        <v>89</v>
      </c>
      <c r="E51" s="22" t="s">
        <v>27</v>
      </c>
      <c r="F51" s="22" t="s">
        <v>132</v>
      </c>
      <c r="G51" s="22" t="s">
        <v>91</v>
      </c>
      <c r="H51" s="22" t="s">
        <v>91</v>
      </c>
      <c r="I51" s="22" t="s">
        <v>41</v>
      </c>
      <c r="J51" s="22" t="s">
        <v>89</v>
      </c>
      <c r="K51" s="23">
        <v>46008.291666666672</v>
      </c>
      <c r="L51" s="23"/>
      <c r="M51" s="23"/>
      <c r="N51" s="24">
        <v>2526170</v>
      </c>
      <c r="O51" s="24"/>
      <c r="P51" s="25">
        <f t="shared" si="4"/>
        <v>2526170</v>
      </c>
      <c r="Q51" s="22" t="s">
        <v>38</v>
      </c>
      <c r="R51" s="24">
        <v>2526170</v>
      </c>
      <c r="S51" s="22"/>
      <c r="T51" s="24"/>
      <c r="U51" s="22"/>
      <c r="V51" s="23"/>
      <c r="W51" s="26">
        <v>1</v>
      </c>
      <c r="X51" s="23"/>
      <c r="Y51" s="22"/>
      <c r="Z51" s="23">
        <v>46079.291666666672</v>
      </c>
      <c r="AA51" s="27" t="s">
        <v>271</v>
      </c>
      <c r="AB51" s="28" t="str">
        <f>IFERROR(VLOOKUP(A51,'Go-No-Go'!$A:$M,12,0),"")</f>
        <v/>
      </c>
      <c r="AC51" s="29" t="str">
        <f>IFERROR(VLOOKUP(A51,'Go-No-Go'!$A:$N,14,0),"")</f>
        <v/>
      </c>
      <c r="AD51" s="30" t="str">
        <f t="shared" ca="1" si="5"/>
        <v/>
      </c>
      <c r="AE51" s="31" t="str">
        <f t="shared" ca="1" si="6"/>
        <v>OK</v>
      </c>
      <c r="AF51" s="32" t="str">
        <f t="shared" ca="1" si="7"/>
        <v>[Missing GC]</v>
      </c>
    </row>
    <row r="52" spans="1:32" ht="18" customHeight="1" x14ac:dyDescent="0.25">
      <c r="A52" s="11" t="s">
        <v>276</v>
      </c>
      <c r="B52" s="11" t="s">
        <v>277</v>
      </c>
      <c r="C52" s="11" t="s">
        <v>89</v>
      </c>
      <c r="D52" s="11" t="s">
        <v>89</v>
      </c>
      <c r="E52" s="11" t="s">
        <v>27</v>
      </c>
      <c r="F52" s="11" t="s">
        <v>132</v>
      </c>
      <c r="G52" s="11" t="s">
        <v>91</v>
      </c>
      <c r="H52" s="11" t="s">
        <v>91</v>
      </c>
      <c r="I52" s="11" t="s">
        <v>41</v>
      </c>
      <c r="J52" s="11" t="s">
        <v>89</v>
      </c>
      <c r="K52" s="12">
        <v>46010.291666666672</v>
      </c>
      <c r="L52" s="12"/>
      <c r="M52" s="12"/>
      <c r="N52" s="13">
        <v>5246900</v>
      </c>
      <c r="O52" s="13"/>
      <c r="P52" s="14">
        <f t="shared" si="4"/>
        <v>5246900</v>
      </c>
      <c r="Q52" s="11" t="s">
        <v>93</v>
      </c>
      <c r="R52" s="13"/>
      <c r="S52" s="11"/>
      <c r="T52" s="13"/>
      <c r="U52" s="11"/>
      <c r="V52" s="12"/>
      <c r="W52" s="15">
        <v>0.5</v>
      </c>
      <c r="X52" s="12"/>
      <c r="Y52" s="11"/>
      <c r="Z52" s="12"/>
      <c r="AA52" s="16" t="s">
        <v>89</v>
      </c>
      <c r="AB52" s="17" t="str">
        <f>IFERROR(VLOOKUP(A52,'Go-No-Go'!$A:$M,12,0),"")</f>
        <v/>
      </c>
      <c r="AC52" s="18" t="str">
        <f>IFERROR(VLOOKUP(A52,'Go-No-Go'!$A:$N,14,0),"")</f>
        <v/>
      </c>
      <c r="AD52" s="19">
        <f t="shared" ca="1" si="5"/>
        <v>144.70833333332848</v>
      </c>
      <c r="AE52" s="20" t="str">
        <f t="shared" ca="1" si="6"/>
        <v>MISSING</v>
      </c>
      <c r="AF52" s="21" t="str">
        <f t="shared" ca="1" si="7"/>
        <v>[Missing GC] [Pending-No Follow-Up Date] [Pending-No Follow-Up Owner]</v>
      </c>
    </row>
    <row r="53" spans="1:32" ht="18" customHeight="1" x14ac:dyDescent="0.25">
      <c r="A53" s="22" t="s">
        <v>278</v>
      </c>
      <c r="B53" s="22" t="s">
        <v>279</v>
      </c>
      <c r="C53" s="22" t="s">
        <v>89</v>
      </c>
      <c r="D53" s="22" t="s">
        <v>89</v>
      </c>
      <c r="E53" s="22" t="s">
        <v>27</v>
      </c>
      <c r="F53" s="22" t="s">
        <v>132</v>
      </c>
      <c r="G53" s="22" t="s">
        <v>91</v>
      </c>
      <c r="H53" s="22" t="s">
        <v>91</v>
      </c>
      <c r="I53" s="22" t="s">
        <v>41</v>
      </c>
      <c r="J53" s="22" t="s">
        <v>89</v>
      </c>
      <c r="K53" s="23">
        <v>45800.25</v>
      </c>
      <c r="L53" s="23"/>
      <c r="M53" s="23"/>
      <c r="N53" s="24">
        <v>1786648</v>
      </c>
      <c r="O53" s="24"/>
      <c r="P53" s="25">
        <f t="shared" si="4"/>
        <v>1786648</v>
      </c>
      <c r="Q53" s="22" t="s">
        <v>38</v>
      </c>
      <c r="R53" s="24">
        <v>1786648</v>
      </c>
      <c r="S53" s="22"/>
      <c r="T53" s="24"/>
      <c r="U53" s="22"/>
      <c r="V53" s="23"/>
      <c r="W53" s="26">
        <v>1</v>
      </c>
      <c r="X53" s="23"/>
      <c r="Y53" s="22"/>
      <c r="Z53" s="23">
        <v>46062.291666666672</v>
      </c>
      <c r="AA53" s="27" t="s">
        <v>271</v>
      </c>
      <c r="AB53" s="28" t="str">
        <f>IFERROR(VLOOKUP(A53,'Go-No-Go'!$A:$M,12,0),"")</f>
        <v/>
      </c>
      <c r="AC53" s="29" t="str">
        <f>IFERROR(VLOOKUP(A53,'Go-No-Go'!$A:$N,14,0),"")</f>
        <v/>
      </c>
      <c r="AD53" s="30" t="str">
        <f t="shared" ca="1" si="5"/>
        <v/>
      </c>
      <c r="AE53" s="31" t="str">
        <f t="shared" ca="1" si="6"/>
        <v>OK</v>
      </c>
      <c r="AF53" s="32" t="str">
        <f t="shared" ca="1" si="7"/>
        <v>[Missing GC]</v>
      </c>
    </row>
    <row r="54" spans="1:32" ht="18" customHeight="1" x14ac:dyDescent="0.25">
      <c r="A54" s="11" t="s">
        <v>280</v>
      </c>
      <c r="B54" s="11" t="s">
        <v>281</v>
      </c>
      <c r="C54" s="11" t="s">
        <v>89</v>
      </c>
      <c r="D54" s="11" t="s">
        <v>89</v>
      </c>
      <c r="E54" s="11" t="s">
        <v>27</v>
      </c>
      <c r="F54" s="11" t="s">
        <v>132</v>
      </c>
      <c r="G54" s="11" t="s">
        <v>91</v>
      </c>
      <c r="H54" s="11" t="s">
        <v>91</v>
      </c>
      <c r="I54" s="11" t="s">
        <v>41</v>
      </c>
      <c r="J54" s="11" t="s">
        <v>89</v>
      </c>
      <c r="K54" s="12">
        <v>46062.291666666672</v>
      </c>
      <c r="L54" s="12"/>
      <c r="M54" s="12"/>
      <c r="N54" s="13">
        <v>3632233</v>
      </c>
      <c r="O54" s="13"/>
      <c r="P54" s="14">
        <f t="shared" si="4"/>
        <v>3632233</v>
      </c>
      <c r="Q54" s="11" t="s">
        <v>93</v>
      </c>
      <c r="R54" s="13"/>
      <c r="S54" s="11"/>
      <c r="T54" s="13"/>
      <c r="U54" s="11"/>
      <c r="V54" s="12"/>
      <c r="W54" s="15">
        <v>0.5</v>
      </c>
      <c r="X54" s="12"/>
      <c r="Y54" s="11"/>
      <c r="Z54" s="12"/>
      <c r="AA54" s="16" t="s">
        <v>89</v>
      </c>
      <c r="AB54" s="17" t="str">
        <f>IFERROR(VLOOKUP(A54,'Go-No-Go'!$A:$M,12,0),"")</f>
        <v/>
      </c>
      <c r="AC54" s="18" t="str">
        <f>IFERROR(VLOOKUP(A54,'Go-No-Go'!$A:$N,14,0),"")</f>
        <v/>
      </c>
      <c r="AD54" s="19">
        <f t="shared" ca="1" si="5"/>
        <v>92.708333333328483</v>
      </c>
      <c r="AE54" s="20" t="str">
        <f t="shared" ca="1" si="6"/>
        <v>MISSING</v>
      </c>
      <c r="AF54" s="21" t="str">
        <f t="shared" ca="1" si="7"/>
        <v>[Missing GC] [Pending-No Follow-Up Date] [Pending-No Follow-Up Owner]</v>
      </c>
    </row>
    <row r="55" spans="1:32" ht="18" customHeight="1" x14ac:dyDescent="0.25">
      <c r="A55" s="22" t="s">
        <v>282</v>
      </c>
      <c r="B55" s="22" t="s">
        <v>283</v>
      </c>
      <c r="C55" s="22" t="s">
        <v>284</v>
      </c>
      <c r="D55" s="22" t="s">
        <v>89</v>
      </c>
      <c r="E55" s="22" t="s">
        <v>27</v>
      </c>
      <c r="F55" s="22" t="s">
        <v>90</v>
      </c>
      <c r="G55" s="22" t="s">
        <v>91</v>
      </c>
      <c r="H55" s="22" t="s">
        <v>91</v>
      </c>
      <c r="I55" s="22" t="s">
        <v>41</v>
      </c>
      <c r="J55" s="22" t="s">
        <v>92</v>
      </c>
      <c r="K55" s="23">
        <v>46077.291666666672</v>
      </c>
      <c r="L55" s="23"/>
      <c r="M55" s="23"/>
      <c r="N55" s="24">
        <v>4381716</v>
      </c>
      <c r="O55" s="24">
        <v>5974387</v>
      </c>
      <c r="P55" s="25">
        <f t="shared" si="4"/>
        <v>10356103</v>
      </c>
      <c r="Q55" s="22" t="s">
        <v>93</v>
      </c>
      <c r="R55" s="24"/>
      <c r="S55" s="22"/>
      <c r="T55" s="24"/>
      <c r="U55" s="22"/>
      <c r="V55" s="23"/>
      <c r="W55" s="26">
        <v>0.5</v>
      </c>
      <c r="X55" s="23"/>
      <c r="Y55" s="22"/>
      <c r="Z55" s="23"/>
      <c r="AA55" s="27" t="s">
        <v>285</v>
      </c>
      <c r="AB55" s="28" t="str">
        <f>IFERROR(VLOOKUP(A55,'Go-No-Go'!$A:$M,12,0),"")</f>
        <v/>
      </c>
      <c r="AC55" s="29" t="str">
        <f>IFERROR(VLOOKUP(A55,'Go-No-Go'!$A:$N,14,0),"")</f>
        <v/>
      </c>
      <c r="AD55" s="30">
        <f t="shared" ca="1" si="5"/>
        <v>77.708333333328483</v>
      </c>
      <c r="AE55" s="31" t="str">
        <f t="shared" ca="1" si="6"/>
        <v>MISSING</v>
      </c>
      <c r="AF55" s="32" t="str">
        <f t="shared" ca="1" si="7"/>
        <v>[Pending-No Follow-Up Date] [Pending-No Follow-Up Owner]</v>
      </c>
    </row>
    <row r="56" spans="1:32" ht="18" customHeight="1" x14ac:dyDescent="0.25">
      <c r="A56" s="11" t="s">
        <v>286</v>
      </c>
      <c r="B56" s="11" t="s">
        <v>287</v>
      </c>
      <c r="C56" s="11" t="s">
        <v>200</v>
      </c>
      <c r="D56" s="11" t="s">
        <v>89</v>
      </c>
      <c r="E56" s="11" t="s">
        <v>27</v>
      </c>
      <c r="F56" s="11" t="s">
        <v>132</v>
      </c>
      <c r="G56" s="11" t="s">
        <v>91</v>
      </c>
      <c r="H56" s="11" t="s">
        <v>91</v>
      </c>
      <c r="I56" s="11" t="s">
        <v>41</v>
      </c>
      <c r="J56" s="11" t="s">
        <v>89</v>
      </c>
      <c r="K56" s="12">
        <v>46085.291666666672</v>
      </c>
      <c r="L56" s="12"/>
      <c r="M56" s="12"/>
      <c r="N56" s="13">
        <v>499239</v>
      </c>
      <c r="O56" s="13"/>
      <c r="P56" s="14">
        <f t="shared" si="4"/>
        <v>499239</v>
      </c>
      <c r="Q56" s="11" t="s">
        <v>93</v>
      </c>
      <c r="R56" s="13"/>
      <c r="S56" s="11"/>
      <c r="T56" s="13"/>
      <c r="U56" s="11"/>
      <c r="V56" s="12"/>
      <c r="W56" s="15">
        <v>0.5</v>
      </c>
      <c r="X56" s="12"/>
      <c r="Y56" s="11"/>
      <c r="Z56" s="12"/>
      <c r="AA56" s="16" t="s">
        <v>259</v>
      </c>
      <c r="AB56" s="17" t="str">
        <f>IFERROR(VLOOKUP(A56,'Go-No-Go'!$A:$M,12,0),"")</f>
        <v/>
      </c>
      <c r="AC56" s="18" t="str">
        <f>IFERROR(VLOOKUP(A56,'Go-No-Go'!$A:$N,14,0),"")</f>
        <v/>
      </c>
      <c r="AD56" s="19">
        <f t="shared" ca="1" si="5"/>
        <v>69.708333333328483</v>
      </c>
      <c r="AE56" s="20" t="str">
        <f t="shared" ca="1" si="6"/>
        <v>MISSING</v>
      </c>
      <c r="AF56" s="21" t="str">
        <f t="shared" ca="1" si="7"/>
        <v>[Pending-No Follow-Up Date] [Pending-No Follow-Up Owner]</v>
      </c>
    </row>
    <row r="57" spans="1:32" ht="18" customHeight="1" x14ac:dyDescent="0.25">
      <c r="A57" s="22" t="s">
        <v>288</v>
      </c>
      <c r="B57" s="22" t="s">
        <v>289</v>
      </c>
      <c r="C57" s="22" t="s">
        <v>290</v>
      </c>
      <c r="D57" s="22" t="s">
        <v>89</v>
      </c>
      <c r="E57" s="22" t="s">
        <v>27</v>
      </c>
      <c r="F57" s="22" t="s">
        <v>90</v>
      </c>
      <c r="G57" s="22" t="s">
        <v>91</v>
      </c>
      <c r="H57" s="22" t="s">
        <v>91</v>
      </c>
      <c r="I57" s="22" t="s">
        <v>41</v>
      </c>
      <c r="J57" s="22" t="s">
        <v>92</v>
      </c>
      <c r="K57" s="23">
        <v>46098.25</v>
      </c>
      <c r="L57" s="23"/>
      <c r="M57" s="23"/>
      <c r="N57" s="24">
        <v>748908</v>
      </c>
      <c r="O57" s="24">
        <v>597262</v>
      </c>
      <c r="P57" s="25">
        <f t="shared" si="4"/>
        <v>1346170</v>
      </c>
      <c r="Q57" s="22" t="s">
        <v>93</v>
      </c>
      <c r="R57" s="24"/>
      <c r="S57" s="22"/>
      <c r="T57" s="24"/>
      <c r="U57" s="22"/>
      <c r="V57" s="23"/>
      <c r="W57" s="26">
        <v>0.5</v>
      </c>
      <c r="X57" s="23"/>
      <c r="Y57" s="22"/>
      <c r="Z57" s="23"/>
      <c r="AA57" s="27" t="s">
        <v>291</v>
      </c>
      <c r="AB57" s="28" t="str">
        <f>IFERROR(VLOOKUP(A57,'Go-No-Go'!$A:$M,12,0),"")</f>
        <v/>
      </c>
      <c r="AC57" s="29" t="str">
        <f>IFERROR(VLOOKUP(A57,'Go-No-Go'!$A:$N,14,0),"")</f>
        <v/>
      </c>
      <c r="AD57" s="30">
        <f t="shared" ca="1" si="5"/>
        <v>56.75</v>
      </c>
      <c r="AE57" s="31" t="str">
        <f t="shared" ca="1" si="6"/>
        <v>MISSING</v>
      </c>
      <c r="AF57" s="32" t="str">
        <f t="shared" ca="1" si="7"/>
        <v>[Pending-No Follow-Up Date] [Pending-No Follow-Up Owner]</v>
      </c>
    </row>
    <row r="58" spans="1:32" ht="18" customHeight="1" x14ac:dyDescent="0.25">
      <c r="A58" s="11" t="s">
        <v>292</v>
      </c>
      <c r="B58" s="11" t="s">
        <v>293</v>
      </c>
      <c r="C58" s="11" t="s">
        <v>294</v>
      </c>
      <c r="D58" s="11" t="s">
        <v>89</v>
      </c>
      <c r="E58" s="11" t="s">
        <v>27</v>
      </c>
      <c r="F58" s="11" t="s">
        <v>90</v>
      </c>
      <c r="G58" s="11" t="s">
        <v>91</v>
      </c>
      <c r="H58" s="11" t="s">
        <v>91</v>
      </c>
      <c r="I58" s="11" t="s">
        <v>41</v>
      </c>
      <c r="J58" s="11" t="s">
        <v>92</v>
      </c>
      <c r="K58" s="12">
        <v>46105.25</v>
      </c>
      <c r="L58" s="12"/>
      <c r="M58" s="12"/>
      <c r="N58" s="13">
        <v>3397199</v>
      </c>
      <c r="O58" s="13">
        <v>2142548</v>
      </c>
      <c r="P58" s="14">
        <f t="shared" si="4"/>
        <v>5539747</v>
      </c>
      <c r="Q58" s="11" t="s">
        <v>93</v>
      </c>
      <c r="R58" s="13"/>
      <c r="S58" s="11"/>
      <c r="T58" s="13"/>
      <c r="U58" s="11"/>
      <c r="V58" s="12"/>
      <c r="W58" s="15">
        <v>0.5</v>
      </c>
      <c r="X58" s="12"/>
      <c r="Y58" s="11"/>
      <c r="Z58" s="12"/>
      <c r="AA58" s="16" t="s">
        <v>295</v>
      </c>
      <c r="AB58" s="17" t="str">
        <f>IFERROR(VLOOKUP(A58,'Go-No-Go'!$A:$M,12,0),"")</f>
        <v/>
      </c>
      <c r="AC58" s="18" t="str">
        <f>IFERROR(VLOOKUP(A58,'Go-No-Go'!$A:$N,14,0),"")</f>
        <v/>
      </c>
      <c r="AD58" s="19">
        <f t="shared" ca="1" si="5"/>
        <v>49.75</v>
      </c>
      <c r="AE58" s="20" t="str">
        <f t="shared" ca="1" si="6"/>
        <v>MISSING</v>
      </c>
      <c r="AF58" s="21" t="str">
        <f t="shared" ca="1" si="7"/>
        <v>[Pending-No Follow-Up Date] [Pending-No Follow-Up Owner]</v>
      </c>
    </row>
    <row r="59" spans="1:32" ht="18" customHeight="1" x14ac:dyDescent="0.25">
      <c r="A59" s="22" t="s">
        <v>296</v>
      </c>
      <c r="B59" s="22" t="s">
        <v>297</v>
      </c>
      <c r="C59" s="22" t="s">
        <v>155</v>
      </c>
      <c r="D59" s="22" t="s">
        <v>89</v>
      </c>
      <c r="E59" s="22" t="s">
        <v>27</v>
      </c>
      <c r="F59" s="22" t="s">
        <v>90</v>
      </c>
      <c r="G59" s="22" t="s">
        <v>91</v>
      </c>
      <c r="H59" s="22" t="s">
        <v>91</v>
      </c>
      <c r="I59" s="22" t="s">
        <v>41</v>
      </c>
      <c r="J59" s="22" t="s">
        <v>92</v>
      </c>
      <c r="K59" s="23">
        <v>46106.25</v>
      </c>
      <c r="L59" s="23"/>
      <c r="M59" s="23"/>
      <c r="N59" s="24">
        <v>2578560</v>
      </c>
      <c r="O59" s="24">
        <v>4387570</v>
      </c>
      <c r="P59" s="25">
        <f t="shared" si="4"/>
        <v>6966130</v>
      </c>
      <c r="Q59" s="22" t="s">
        <v>93</v>
      </c>
      <c r="R59" s="24"/>
      <c r="S59" s="22"/>
      <c r="T59" s="24"/>
      <c r="U59" s="22"/>
      <c r="V59" s="23"/>
      <c r="W59" s="26">
        <v>0.5</v>
      </c>
      <c r="X59" s="23"/>
      <c r="Y59" s="22"/>
      <c r="Z59" s="23"/>
      <c r="AA59" s="27" t="s">
        <v>156</v>
      </c>
      <c r="AB59" s="28" t="str">
        <f>IFERROR(VLOOKUP(A59,'Go-No-Go'!$A:$M,12,0),"")</f>
        <v/>
      </c>
      <c r="AC59" s="29" t="str">
        <f>IFERROR(VLOOKUP(A59,'Go-No-Go'!$A:$N,14,0),"")</f>
        <v/>
      </c>
      <c r="AD59" s="30">
        <f t="shared" ca="1" si="5"/>
        <v>48.75</v>
      </c>
      <c r="AE59" s="31" t="str">
        <f t="shared" ca="1" si="6"/>
        <v>MISSING</v>
      </c>
      <c r="AF59" s="32" t="str">
        <f t="shared" ca="1" si="7"/>
        <v>[Pending-No Follow-Up Date] [Pending-No Follow-Up Owner]</v>
      </c>
    </row>
    <row r="60" spans="1:32" ht="18" customHeight="1" x14ac:dyDescent="0.25">
      <c r="A60" s="11" t="s">
        <v>298</v>
      </c>
      <c r="B60" s="11" t="s">
        <v>299</v>
      </c>
      <c r="C60" s="11" t="s">
        <v>300</v>
      </c>
      <c r="D60" s="11" t="s">
        <v>301</v>
      </c>
      <c r="E60" s="11" t="s">
        <v>27</v>
      </c>
      <c r="F60" s="11" t="s">
        <v>90</v>
      </c>
      <c r="G60" s="11" t="s">
        <v>91</v>
      </c>
      <c r="H60" s="11" t="s">
        <v>91</v>
      </c>
      <c r="I60" s="11" t="s">
        <v>41</v>
      </c>
      <c r="J60" s="11" t="s">
        <v>92</v>
      </c>
      <c r="K60" s="12">
        <v>46112.25</v>
      </c>
      <c r="L60" s="12"/>
      <c r="M60" s="12"/>
      <c r="N60" s="13">
        <v>3020768</v>
      </c>
      <c r="O60" s="13">
        <v>2618756</v>
      </c>
      <c r="P60" s="14">
        <f t="shared" si="4"/>
        <v>5639524</v>
      </c>
      <c r="Q60" s="11" t="s">
        <v>93</v>
      </c>
      <c r="R60" s="13"/>
      <c r="S60" s="11"/>
      <c r="T60" s="13"/>
      <c r="U60" s="11"/>
      <c r="V60" s="12"/>
      <c r="W60" s="15">
        <v>0.5</v>
      </c>
      <c r="X60" s="12"/>
      <c r="Y60" s="11"/>
      <c r="Z60" s="12">
        <v>46147.25</v>
      </c>
      <c r="AA60" s="16" t="s">
        <v>302</v>
      </c>
      <c r="AB60" s="17" t="str">
        <f>IFERROR(VLOOKUP(A60,'Go-No-Go'!$A:$M,12,0),"")</f>
        <v/>
      </c>
      <c r="AC60" s="18" t="str">
        <f>IFERROR(VLOOKUP(A60,'Go-No-Go'!$A:$N,14,0),"")</f>
        <v/>
      </c>
      <c r="AD60" s="19">
        <f t="shared" ca="1" si="5"/>
        <v>42.75</v>
      </c>
      <c r="AE60" s="20" t="str">
        <f t="shared" ca="1" si="6"/>
        <v>MISSING</v>
      </c>
      <c r="AF60" s="21" t="str">
        <f t="shared" ca="1" si="7"/>
        <v>[Pending-No Follow-Up Date] [Pending-No Follow-Up Owner]</v>
      </c>
    </row>
    <row r="61" spans="1:32" ht="18" customHeight="1" x14ac:dyDescent="0.25">
      <c r="A61" s="22" t="s">
        <v>303</v>
      </c>
      <c r="B61" s="22" t="s">
        <v>304</v>
      </c>
      <c r="C61" s="22" t="s">
        <v>155</v>
      </c>
      <c r="D61" s="22" t="s">
        <v>89</v>
      </c>
      <c r="E61" s="22" t="s">
        <v>27</v>
      </c>
      <c r="F61" s="22" t="s">
        <v>90</v>
      </c>
      <c r="G61" s="22" t="s">
        <v>91</v>
      </c>
      <c r="H61" s="22" t="s">
        <v>91</v>
      </c>
      <c r="I61" s="22" t="s">
        <v>41</v>
      </c>
      <c r="J61" s="22" t="s">
        <v>92</v>
      </c>
      <c r="K61" s="23">
        <v>46120.25</v>
      </c>
      <c r="L61" s="23"/>
      <c r="M61" s="23"/>
      <c r="N61" s="24">
        <v>2912975</v>
      </c>
      <c r="O61" s="24">
        <v>3264667</v>
      </c>
      <c r="P61" s="25">
        <f t="shared" si="4"/>
        <v>6177642</v>
      </c>
      <c r="Q61" s="22" t="s">
        <v>93</v>
      </c>
      <c r="R61" s="24"/>
      <c r="S61" s="22"/>
      <c r="T61" s="24"/>
      <c r="U61" s="22"/>
      <c r="V61" s="23"/>
      <c r="W61" s="26">
        <v>0.5</v>
      </c>
      <c r="X61" s="23"/>
      <c r="Y61" s="22"/>
      <c r="Z61" s="23"/>
      <c r="AA61" s="27" t="s">
        <v>305</v>
      </c>
      <c r="AB61" s="28" t="str">
        <f>IFERROR(VLOOKUP(A61,'Go-No-Go'!$A:$M,12,0),"")</f>
        <v/>
      </c>
      <c r="AC61" s="29" t="str">
        <f>IFERROR(VLOOKUP(A61,'Go-No-Go'!$A:$N,14,0),"")</f>
        <v/>
      </c>
      <c r="AD61" s="30">
        <f t="shared" ca="1" si="5"/>
        <v>34.75</v>
      </c>
      <c r="AE61" s="31" t="str">
        <f t="shared" ca="1" si="6"/>
        <v>MISSING</v>
      </c>
      <c r="AF61" s="32" t="str">
        <f t="shared" ca="1" si="7"/>
        <v>[Pending-No Follow-Up Date] [Pending-No Follow-Up Owner]</v>
      </c>
    </row>
    <row r="62" spans="1:32" ht="18" customHeight="1" x14ac:dyDescent="0.25">
      <c r="A62" s="11" t="s">
        <v>306</v>
      </c>
      <c r="B62" s="11" t="s">
        <v>307</v>
      </c>
      <c r="C62" s="11" t="s">
        <v>290</v>
      </c>
      <c r="D62" s="11" t="s">
        <v>89</v>
      </c>
      <c r="E62" s="11" t="s">
        <v>27</v>
      </c>
      <c r="F62" s="11" t="s">
        <v>90</v>
      </c>
      <c r="G62" s="11" t="s">
        <v>91</v>
      </c>
      <c r="H62" s="11" t="s">
        <v>91</v>
      </c>
      <c r="I62" s="11" t="s">
        <v>41</v>
      </c>
      <c r="J62" s="11" t="s">
        <v>92</v>
      </c>
      <c r="K62" s="12">
        <v>46132.25</v>
      </c>
      <c r="L62" s="12"/>
      <c r="M62" s="12"/>
      <c r="N62" s="13">
        <v>5376708</v>
      </c>
      <c r="O62" s="13">
        <v>3442844</v>
      </c>
      <c r="P62" s="14">
        <f t="shared" si="4"/>
        <v>8819552</v>
      </c>
      <c r="Q62" s="11" t="s">
        <v>93</v>
      </c>
      <c r="R62" s="13"/>
      <c r="S62" s="11"/>
      <c r="T62" s="13"/>
      <c r="U62" s="11"/>
      <c r="V62" s="12"/>
      <c r="W62" s="15">
        <v>0.5</v>
      </c>
      <c r="X62" s="12"/>
      <c r="Y62" s="11"/>
      <c r="Z62" s="12"/>
      <c r="AA62" s="16" t="s">
        <v>291</v>
      </c>
      <c r="AB62" s="17" t="str">
        <f>IFERROR(VLOOKUP(A62,'Go-No-Go'!$A:$M,12,0),"")</f>
        <v/>
      </c>
      <c r="AC62" s="18" t="str">
        <f>IFERROR(VLOOKUP(A62,'Go-No-Go'!$A:$N,14,0),"")</f>
        <v/>
      </c>
      <c r="AD62" s="19">
        <f t="shared" ca="1" si="5"/>
        <v>22.75</v>
      </c>
      <c r="AE62" s="20" t="str">
        <f t="shared" ca="1" si="6"/>
        <v>MISSING</v>
      </c>
      <c r="AF62" s="21" t="str">
        <f t="shared" ca="1" si="7"/>
        <v>[Pending-No Follow-Up Date] [Pending-No Follow-Up Owner]</v>
      </c>
    </row>
    <row r="63" spans="1:32" ht="18" customHeight="1" x14ac:dyDescent="0.25">
      <c r="A63" s="22" t="s">
        <v>308</v>
      </c>
      <c r="B63" s="22" t="s">
        <v>309</v>
      </c>
      <c r="C63" s="22" t="s">
        <v>310</v>
      </c>
      <c r="D63" s="22" t="s">
        <v>152</v>
      </c>
      <c r="E63" s="22" t="s">
        <v>27</v>
      </c>
      <c r="F63" s="22" t="s">
        <v>90</v>
      </c>
      <c r="G63" s="22" t="s">
        <v>234</v>
      </c>
      <c r="H63" s="22" t="s">
        <v>235</v>
      </c>
      <c r="I63" s="22" t="s">
        <v>41</v>
      </c>
      <c r="J63" s="22" t="s">
        <v>92</v>
      </c>
      <c r="K63" s="23">
        <v>46132.25</v>
      </c>
      <c r="L63" s="23"/>
      <c r="M63" s="23"/>
      <c r="N63" s="24">
        <v>2918916</v>
      </c>
      <c r="O63" s="24">
        <v>2715700</v>
      </c>
      <c r="P63" s="25">
        <f t="shared" si="4"/>
        <v>5634616</v>
      </c>
      <c r="Q63" s="22" t="s">
        <v>93</v>
      </c>
      <c r="R63" s="24"/>
      <c r="S63" s="22"/>
      <c r="T63" s="24"/>
      <c r="U63" s="22"/>
      <c r="V63" s="23"/>
      <c r="W63" s="26">
        <v>0.5</v>
      </c>
      <c r="X63" s="23"/>
      <c r="Y63" s="22"/>
      <c r="Z63" s="23"/>
      <c r="AA63" s="27" t="s">
        <v>311</v>
      </c>
      <c r="AB63" s="28" t="str">
        <f>IFERROR(VLOOKUP(A63,'Go-No-Go'!$A:$M,12,0),"")</f>
        <v/>
      </c>
      <c r="AC63" s="29" t="str">
        <f>IFERROR(VLOOKUP(A63,'Go-No-Go'!$A:$N,14,0),"")</f>
        <v/>
      </c>
      <c r="AD63" s="30">
        <f t="shared" ca="1" si="5"/>
        <v>22.75</v>
      </c>
      <c r="AE63" s="31" t="str">
        <f t="shared" ca="1" si="6"/>
        <v>MISSING</v>
      </c>
      <c r="AF63" s="32" t="str">
        <f t="shared" ca="1" si="7"/>
        <v>[Pending-No Follow-Up Date] [Pending-No Follow-Up Owner]</v>
      </c>
    </row>
    <row r="64" spans="1:32" ht="18" customHeight="1" x14ac:dyDescent="0.25">
      <c r="A64" s="11" t="s">
        <v>312</v>
      </c>
      <c r="B64" s="11" t="s">
        <v>313</v>
      </c>
      <c r="C64" s="11" t="s">
        <v>97</v>
      </c>
      <c r="D64" s="11" t="s">
        <v>314</v>
      </c>
      <c r="E64" s="11" t="s">
        <v>27</v>
      </c>
      <c r="F64" s="11" t="s">
        <v>132</v>
      </c>
      <c r="G64" s="11" t="s">
        <v>91</v>
      </c>
      <c r="H64" s="11" t="s">
        <v>91</v>
      </c>
      <c r="I64" s="11" t="s">
        <v>41</v>
      </c>
      <c r="J64" s="11" t="s">
        <v>89</v>
      </c>
      <c r="K64" s="12">
        <v>46139.25</v>
      </c>
      <c r="L64" s="12"/>
      <c r="M64" s="12"/>
      <c r="N64" s="13">
        <v>3571515</v>
      </c>
      <c r="O64" s="13"/>
      <c r="P64" s="14">
        <f t="shared" si="4"/>
        <v>3571515</v>
      </c>
      <c r="Q64" s="11" t="s">
        <v>253</v>
      </c>
      <c r="R64" s="13"/>
      <c r="S64" s="11"/>
      <c r="T64" s="13"/>
      <c r="U64" s="11"/>
      <c r="V64" s="12"/>
      <c r="W64" s="15">
        <v>0.25</v>
      </c>
      <c r="X64" s="12"/>
      <c r="Y64" s="11"/>
      <c r="Z64" s="12"/>
      <c r="AA64" s="16" t="s">
        <v>315</v>
      </c>
      <c r="AB64" s="17" t="str">
        <f>IFERROR(VLOOKUP(A64,'Go-No-Go'!$A:$M,12,0),"")</f>
        <v/>
      </c>
      <c r="AC64" s="18" t="str">
        <f>IFERROR(VLOOKUP(A64,'Go-No-Go'!$A:$N,14,0),"")</f>
        <v/>
      </c>
      <c r="AD64" s="19">
        <f t="shared" ca="1" si="5"/>
        <v>15.75</v>
      </c>
      <c r="AE64" s="20" t="str">
        <f t="shared" ca="1" si="6"/>
        <v>OK</v>
      </c>
      <c r="AF64" s="21" t="str">
        <f t="shared" ca="1" si="7"/>
        <v>OK</v>
      </c>
    </row>
    <row r="65" spans="1:32" ht="18" customHeight="1" x14ac:dyDescent="0.25">
      <c r="A65" s="22" t="s">
        <v>316</v>
      </c>
      <c r="B65" s="22" t="s">
        <v>317</v>
      </c>
      <c r="C65" s="22" t="s">
        <v>294</v>
      </c>
      <c r="D65" s="22" t="s">
        <v>318</v>
      </c>
      <c r="E65" s="22" t="s">
        <v>27</v>
      </c>
      <c r="F65" s="22" t="s">
        <v>90</v>
      </c>
      <c r="G65" s="22" t="s">
        <v>91</v>
      </c>
      <c r="H65" s="22" t="s">
        <v>91</v>
      </c>
      <c r="I65" s="22" t="s">
        <v>41</v>
      </c>
      <c r="J65" s="22" t="s">
        <v>92</v>
      </c>
      <c r="K65" s="23">
        <v>45778.25</v>
      </c>
      <c r="L65" s="23"/>
      <c r="M65" s="23"/>
      <c r="N65" s="24">
        <v>848181</v>
      </c>
      <c r="O65" s="24">
        <v>706093</v>
      </c>
      <c r="P65" s="25">
        <f t="shared" si="4"/>
        <v>1554274</v>
      </c>
      <c r="Q65" s="22" t="s">
        <v>253</v>
      </c>
      <c r="R65" s="24"/>
      <c r="S65" s="22"/>
      <c r="T65" s="24"/>
      <c r="U65" s="22"/>
      <c r="V65" s="23"/>
      <c r="W65" s="26">
        <v>0.25</v>
      </c>
      <c r="X65" s="23"/>
      <c r="Y65" s="22"/>
      <c r="Z65" s="23"/>
      <c r="AA65" s="27" t="s">
        <v>295</v>
      </c>
      <c r="AB65" s="28" t="str">
        <f>IFERROR(VLOOKUP(A65,'Go-No-Go'!$A:$M,12,0),"")</f>
        <v/>
      </c>
      <c r="AC65" s="29" t="str">
        <f>IFERROR(VLOOKUP(A65,'Go-No-Go'!$A:$N,14,0),"")</f>
        <v/>
      </c>
      <c r="AD65" s="30">
        <f t="shared" ca="1" si="5"/>
        <v>376.75</v>
      </c>
      <c r="AE65" s="31" t="str">
        <f t="shared" ca="1" si="6"/>
        <v>OK</v>
      </c>
      <c r="AF65" s="32" t="str">
        <f t="shared" ca="1" si="7"/>
        <v>OK</v>
      </c>
    </row>
    <row r="66" spans="1:32" ht="18" customHeight="1" x14ac:dyDescent="0.25">
      <c r="A66" s="11" t="s">
        <v>319</v>
      </c>
      <c r="B66" s="11" t="s">
        <v>320</v>
      </c>
      <c r="C66" s="11" t="s">
        <v>110</v>
      </c>
      <c r="D66" s="11" t="s">
        <v>89</v>
      </c>
      <c r="E66" s="11" t="s">
        <v>27</v>
      </c>
      <c r="F66" s="11" t="s">
        <v>90</v>
      </c>
      <c r="G66" s="11" t="s">
        <v>91</v>
      </c>
      <c r="H66" s="11" t="s">
        <v>91</v>
      </c>
      <c r="I66" s="11" t="s">
        <v>41</v>
      </c>
      <c r="J66" s="11" t="s">
        <v>92</v>
      </c>
      <c r="K66" s="12">
        <v>46167.25</v>
      </c>
      <c r="L66" s="12"/>
      <c r="M66" s="12"/>
      <c r="N66" s="13"/>
      <c r="O66" s="13"/>
      <c r="P66" s="14" t="str">
        <f t="shared" ref="P66:P97" si="8">IFERROR(IF(AND(N66="",O66=""),"",IFERROR(N66,0)+IFERROR(O66,0)),"")</f>
        <v/>
      </c>
      <c r="Q66" s="11" t="s">
        <v>253</v>
      </c>
      <c r="R66" s="13"/>
      <c r="S66" s="11"/>
      <c r="T66" s="13"/>
      <c r="U66" s="11"/>
      <c r="V66" s="12"/>
      <c r="W66" s="15">
        <v>0.25</v>
      </c>
      <c r="X66" s="12"/>
      <c r="Y66" s="11"/>
      <c r="Z66" s="12"/>
      <c r="AA66" s="16" t="s">
        <v>321</v>
      </c>
      <c r="AB66" s="17" t="str">
        <f>IFERROR(VLOOKUP(A66,'Go-No-Go'!$A:$M,12,0),"")</f>
        <v/>
      </c>
      <c r="AC66" s="18" t="str">
        <f>IFERROR(VLOOKUP(A66,'Go-No-Go'!$A:$N,14,0),"")</f>
        <v/>
      </c>
      <c r="AD66" s="19">
        <f t="shared" ref="AD66:AD74" ca="1" si="9">IF(OR(Q66="Bid Submitted",Q66="Budget Submitted",Q66="ROM Submitted",Q66="In Progress"),IF(M66&lt;&gt;"",TODAY()-M66,IF(K66&lt;&gt;"",TODAY()-K66,"")),"")</f>
        <v>-12.25</v>
      </c>
      <c r="AE66" s="20" t="str">
        <f t="shared" ref="AE66:AE74" ca="1" si="10">IF(AND(OR(Q66="Bid Submitted",Q66="Budget Submitted",Q66="ROM Submitted"),X66&lt;&gt;"",X66&lt;TODAY()),"OVERDUE",IF(AND(OR(Q66="Bid Submitted",Q66="Budget Submitted",Q66="ROM Submitted"),X66&lt;&gt;"",X66&lt;=TODAY()+3),"DUE SOON",IF(AND(OR(Q66="Bid Submitted",Q66="Budget Submitted",Q66="ROM Submitted"),X66=""),"MISSING","OK")))</f>
        <v>OK</v>
      </c>
      <c r="AF66" s="21" t="str">
        <f t="shared" ref="AF66:AF74" ca="1" si="11">IF(TRIM(IF(B66="","[Missing Project Name] ","")&amp;IF(C66="","[Missing GC] ","")&amp;IF(I66="","[Missing Plumb Estimator] ","")&amp;IF(AND(Q66&lt;&gt;"In Progress",Q66&lt;&gt;"No Bid",Q66&lt;&gt;"On Hold",P66=""),"[Missing Bid Amount] ","")&amp;IF(AND(Q66="Awarded",R66=""),"[Awarded-No Award Amount] ","")&amp;IF(AND(Q66="Lost",U66=""),"[Lost-No Lost Reason] ","")&amp;IF(AND(OR(Q66="Bid Submitted",Q66="Budget Submitted"),X66=""),"[Pending-No Follow-Up Date] ","")&amp;IF(AND(OR(Q66="Bid Submitted",Q66="Budget Submitted"),Y66=""),"[Pending-No Follow-Up Owner] ","")&amp;IF(AND(L66&lt;&gt;"",L66&lt;TODAY(),OR(Q66="In Progress",Q66="")),"[Bid Due Date Passed] ",""))="","OK",TRIM(IF(B66="","[Missing Project Name] ","")&amp;IF(C66="","[Missing GC] ","")&amp;IF(I66="","[Missing Plumb Estimator] ","")&amp;IF(AND(Q66&lt;&gt;"In Progress",Q66&lt;&gt;"No Bid",Q66&lt;&gt;"On Hold",P66=""),"[Missing Bid Amount] ","")&amp;IF(AND(Q66="Awarded",R66=""),"[Awarded-No Award Amount] ","")&amp;IF(AND(Q66="Lost",U66=""),"[Lost-No Lost Reason] ","")&amp;IF(AND(OR(Q66="Bid Submitted",Q66="Budget Submitted"),X66=""),"[Pending-No Follow-Up Date] ","")&amp;IF(AND(OR(Q66="Bid Submitted",Q66="Budget Submitted"),Y66=""),"[Pending-No Follow-Up Owner] ","")&amp;IF(AND(L66&lt;&gt;"",L66&lt;TODAY(),OR(Q66="In Progress",Q66="")),"[Bid Due Date Passed] ","")))</f>
        <v>OK</v>
      </c>
    </row>
    <row r="67" spans="1:32" ht="18" customHeight="1" x14ac:dyDescent="0.25">
      <c r="A67" s="22" t="s">
        <v>322</v>
      </c>
      <c r="B67" s="22" t="s">
        <v>323</v>
      </c>
      <c r="C67" s="22" t="s">
        <v>155</v>
      </c>
      <c r="D67" s="22" t="s">
        <v>210</v>
      </c>
      <c r="E67" s="22" t="s">
        <v>24</v>
      </c>
      <c r="F67" s="22" t="s">
        <v>90</v>
      </c>
      <c r="G67" s="22" t="s">
        <v>266</v>
      </c>
      <c r="H67" s="22" t="s">
        <v>266</v>
      </c>
      <c r="I67" s="22" t="s">
        <v>41</v>
      </c>
      <c r="J67" s="22" t="s">
        <v>92</v>
      </c>
      <c r="K67" s="23">
        <v>46147.25</v>
      </c>
      <c r="L67" s="23"/>
      <c r="M67" s="23"/>
      <c r="N67" s="24">
        <v>32000</v>
      </c>
      <c r="O67" s="24">
        <v>32000</v>
      </c>
      <c r="P67" s="25">
        <f t="shared" si="8"/>
        <v>64000</v>
      </c>
      <c r="Q67" s="22" t="s">
        <v>93</v>
      </c>
      <c r="R67" s="24"/>
      <c r="S67" s="22"/>
      <c r="T67" s="24"/>
      <c r="U67" s="22"/>
      <c r="V67" s="23"/>
      <c r="W67" s="26">
        <v>0.5</v>
      </c>
      <c r="X67" s="23"/>
      <c r="Y67" s="22"/>
      <c r="Z67" s="23"/>
      <c r="AA67" s="27" t="s">
        <v>156</v>
      </c>
      <c r="AB67" s="28" t="str">
        <f>IFERROR(VLOOKUP(A67,'Go-No-Go'!$A:$M,12,0),"")</f>
        <v/>
      </c>
      <c r="AC67" s="29" t="str">
        <f>IFERROR(VLOOKUP(A67,'Go-No-Go'!$A:$N,14,0),"")</f>
        <v/>
      </c>
      <c r="AD67" s="30">
        <f t="shared" ca="1" si="9"/>
        <v>7.75</v>
      </c>
      <c r="AE67" s="31" t="str">
        <f t="shared" ca="1" si="10"/>
        <v>MISSING</v>
      </c>
      <c r="AF67" s="32" t="str">
        <f t="shared" ca="1" si="11"/>
        <v>[Pending-No Follow-Up Date] [Pending-No Follow-Up Owner]</v>
      </c>
    </row>
    <row r="68" spans="1:32" ht="18" customHeight="1" x14ac:dyDescent="0.25">
      <c r="A68" s="11" t="s">
        <v>324</v>
      </c>
      <c r="B68" s="11" t="s">
        <v>325</v>
      </c>
      <c r="C68" s="11" t="s">
        <v>89</v>
      </c>
      <c r="D68" s="11" t="s">
        <v>89</v>
      </c>
      <c r="E68" s="11" t="s">
        <v>27</v>
      </c>
      <c r="F68" s="11" t="s">
        <v>132</v>
      </c>
      <c r="G68" s="11" t="s">
        <v>91</v>
      </c>
      <c r="H68" s="11" t="s">
        <v>91</v>
      </c>
      <c r="I68" s="11" t="s">
        <v>41</v>
      </c>
      <c r="J68" s="11" t="s">
        <v>92</v>
      </c>
      <c r="K68" s="12">
        <v>46051.291666666672</v>
      </c>
      <c r="L68" s="12"/>
      <c r="M68" s="12"/>
      <c r="N68" s="13">
        <v>2484078</v>
      </c>
      <c r="O68" s="13">
        <v>2442654</v>
      </c>
      <c r="P68" s="14">
        <f t="shared" si="8"/>
        <v>4926732</v>
      </c>
      <c r="Q68" s="11" t="s">
        <v>39</v>
      </c>
      <c r="R68" s="13"/>
      <c r="S68" s="11"/>
      <c r="T68" s="13"/>
      <c r="U68" s="11"/>
      <c r="V68" s="12"/>
      <c r="W68" s="15">
        <v>0</v>
      </c>
      <c r="X68" s="12"/>
      <c r="Y68" s="11"/>
      <c r="Z68" s="12">
        <v>46166.25</v>
      </c>
      <c r="AA68" s="16" t="s">
        <v>89</v>
      </c>
      <c r="AB68" s="17" t="str">
        <f>IFERROR(VLOOKUP(A68,'Go-No-Go'!$A:$M,12,0),"")</f>
        <v/>
      </c>
      <c r="AC68" s="18" t="str">
        <f>IFERROR(VLOOKUP(A68,'Go-No-Go'!$A:$N,14,0),"")</f>
        <v/>
      </c>
      <c r="AD68" s="19" t="str">
        <f t="shared" ca="1" si="9"/>
        <v/>
      </c>
      <c r="AE68" s="20" t="str">
        <f t="shared" ca="1" si="10"/>
        <v>OK</v>
      </c>
      <c r="AF68" s="21" t="str">
        <f t="shared" ca="1" si="11"/>
        <v>[Missing GC] [Lost-No Lost Reason]</v>
      </c>
    </row>
    <row r="69" spans="1:32" ht="18" customHeight="1" x14ac:dyDescent="0.25">
      <c r="A69" s="22" t="s">
        <v>326</v>
      </c>
      <c r="B69" s="22" t="s">
        <v>327</v>
      </c>
      <c r="C69" s="22" t="s">
        <v>89</v>
      </c>
      <c r="D69" s="22" t="s">
        <v>89</v>
      </c>
      <c r="E69" s="22" t="s">
        <v>27</v>
      </c>
      <c r="F69" s="22" t="s">
        <v>132</v>
      </c>
      <c r="G69" s="22" t="s">
        <v>91</v>
      </c>
      <c r="H69" s="22" t="s">
        <v>91</v>
      </c>
      <c r="I69" s="22" t="s">
        <v>41</v>
      </c>
      <c r="J69" s="22" t="s">
        <v>89</v>
      </c>
      <c r="K69" s="23">
        <v>46034.291666666672</v>
      </c>
      <c r="L69" s="23"/>
      <c r="M69" s="23"/>
      <c r="N69" s="24">
        <v>1118554</v>
      </c>
      <c r="O69" s="24"/>
      <c r="P69" s="25">
        <f t="shared" si="8"/>
        <v>1118554</v>
      </c>
      <c r="Q69" s="22" t="s">
        <v>39</v>
      </c>
      <c r="R69" s="24"/>
      <c r="S69" s="22"/>
      <c r="T69" s="24"/>
      <c r="U69" s="22"/>
      <c r="V69" s="23"/>
      <c r="W69" s="26">
        <v>0</v>
      </c>
      <c r="X69" s="23"/>
      <c r="Y69" s="22"/>
      <c r="Z69" s="23"/>
      <c r="AA69" s="27" t="s">
        <v>89</v>
      </c>
      <c r="AB69" s="28" t="str">
        <f>IFERROR(VLOOKUP(A69,'Go-No-Go'!$A:$M,12,0),"")</f>
        <v/>
      </c>
      <c r="AC69" s="29" t="str">
        <f>IFERROR(VLOOKUP(A69,'Go-No-Go'!$A:$N,14,0),"")</f>
        <v/>
      </c>
      <c r="AD69" s="30" t="str">
        <f t="shared" ca="1" si="9"/>
        <v/>
      </c>
      <c r="AE69" s="31" t="str">
        <f t="shared" ca="1" si="10"/>
        <v>OK</v>
      </c>
      <c r="AF69" s="32" t="str">
        <f t="shared" ca="1" si="11"/>
        <v>[Missing GC] [Lost-No Lost Reason]</v>
      </c>
    </row>
    <row r="70" spans="1:32" ht="18" customHeight="1" x14ac:dyDescent="0.25">
      <c r="A70" s="11" t="s">
        <v>328</v>
      </c>
      <c r="B70" s="11" t="s">
        <v>329</v>
      </c>
      <c r="C70" s="11" t="s">
        <v>89</v>
      </c>
      <c r="D70" s="11" t="s">
        <v>89</v>
      </c>
      <c r="E70" s="11" t="s">
        <v>27</v>
      </c>
      <c r="F70" s="11" t="s">
        <v>132</v>
      </c>
      <c r="G70" s="11" t="s">
        <v>91</v>
      </c>
      <c r="H70" s="11" t="s">
        <v>91</v>
      </c>
      <c r="I70" s="11" t="s">
        <v>41</v>
      </c>
      <c r="J70" s="11" t="s">
        <v>89</v>
      </c>
      <c r="K70" s="12">
        <v>46036.291666666672</v>
      </c>
      <c r="L70" s="12"/>
      <c r="M70" s="12"/>
      <c r="N70" s="13">
        <v>1714760</v>
      </c>
      <c r="O70" s="13"/>
      <c r="P70" s="14">
        <f t="shared" si="8"/>
        <v>1714760</v>
      </c>
      <c r="Q70" s="11" t="s">
        <v>39</v>
      </c>
      <c r="R70" s="13"/>
      <c r="S70" s="11"/>
      <c r="T70" s="13"/>
      <c r="U70" s="11"/>
      <c r="V70" s="12"/>
      <c r="W70" s="15">
        <v>0</v>
      </c>
      <c r="X70" s="12"/>
      <c r="Y70" s="11"/>
      <c r="Z70" s="12"/>
      <c r="AA70" s="16" t="s">
        <v>89</v>
      </c>
      <c r="AB70" s="17" t="str">
        <f>IFERROR(VLOOKUP(A70,'Go-No-Go'!$A:$M,12,0),"")</f>
        <v/>
      </c>
      <c r="AC70" s="18" t="str">
        <f>IFERROR(VLOOKUP(A70,'Go-No-Go'!$A:$N,14,0),"")</f>
        <v/>
      </c>
      <c r="AD70" s="19" t="str">
        <f t="shared" ca="1" si="9"/>
        <v/>
      </c>
      <c r="AE70" s="20" t="str">
        <f t="shared" ca="1" si="10"/>
        <v>OK</v>
      </c>
      <c r="AF70" s="21" t="str">
        <f t="shared" ca="1" si="11"/>
        <v>[Missing GC] [Lost-No Lost Reason]</v>
      </c>
    </row>
    <row r="71" spans="1:32" ht="18" customHeight="1" x14ac:dyDescent="0.25">
      <c r="A71" s="22" t="s">
        <v>330</v>
      </c>
      <c r="B71" s="22" t="s">
        <v>331</v>
      </c>
      <c r="C71" s="22" t="s">
        <v>89</v>
      </c>
      <c r="D71" s="22" t="s">
        <v>118</v>
      </c>
      <c r="E71" s="22" t="s">
        <v>27</v>
      </c>
      <c r="F71" s="22" t="s">
        <v>132</v>
      </c>
      <c r="G71" s="22" t="s">
        <v>91</v>
      </c>
      <c r="H71" s="22" t="s">
        <v>91</v>
      </c>
      <c r="I71" s="22" t="s">
        <v>41</v>
      </c>
      <c r="J71" s="22" t="s">
        <v>89</v>
      </c>
      <c r="K71" s="23">
        <v>46045.291666666672</v>
      </c>
      <c r="L71" s="23"/>
      <c r="M71" s="23"/>
      <c r="N71" s="24">
        <v>6489325</v>
      </c>
      <c r="O71" s="24"/>
      <c r="P71" s="25">
        <f t="shared" si="8"/>
        <v>6489325</v>
      </c>
      <c r="Q71" s="22" t="s">
        <v>39</v>
      </c>
      <c r="R71" s="24"/>
      <c r="S71" s="22"/>
      <c r="T71" s="24"/>
      <c r="U71" s="22"/>
      <c r="V71" s="23"/>
      <c r="W71" s="26">
        <v>0</v>
      </c>
      <c r="X71" s="23"/>
      <c r="Y71" s="22"/>
      <c r="Z71" s="23"/>
      <c r="AA71" s="27" t="s">
        <v>89</v>
      </c>
      <c r="AB71" s="28" t="str">
        <f>IFERROR(VLOOKUP(A71,'Go-No-Go'!$A:$M,12,0),"")</f>
        <v/>
      </c>
      <c r="AC71" s="29" t="str">
        <f>IFERROR(VLOOKUP(A71,'Go-No-Go'!$A:$N,14,0),"")</f>
        <v/>
      </c>
      <c r="AD71" s="30" t="str">
        <f t="shared" ca="1" si="9"/>
        <v/>
      </c>
      <c r="AE71" s="31" t="str">
        <f t="shared" ca="1" si="10"/>
        <v>OK</v>
      </c>
      <c r="AF71" s="32" t="str">
        <f t="shared" ca="1" si="11"/>
        <v>[Missing GC] [Lost-No Lost Reason]</v>
      </c>
    </row>
    <row r="72" spans="1:32" ht="18" customHeight="1" x14ac:dyDescent="0.25">
      <c r="A72" s="11" t="s">
        <v>332</v>
      </c>
      <c r="B72" s="11" t="s">
        <v>333</v>
      </c>
      <c r="C72" s="11" t="s">
        <v>89</v>
      </c>
      <c r="D72" s="11" t="s">
        <v>334</v>
      </c>
      <c r="E72" s="11" t="s">
        <v>27</v>
      </c>
      <c r="F72" s="11" t="s">
        <v>132</v>
      </c>
      <c r="G72" s="11" t="s">
        <v>91</v>
      </c>
      <c r="H72" s="11" t="s">
        <v>91</v>
      </c>
      <c r="I72" s="11" t="s">
        <v>41</v>
      </c>
      <c r="J72" s="11" t="s">
        <v>89</v>
      </c>
      <c r="K72" s="12">
        <v>46051.291666666672</v>
      </c>
      <c r="L72" s="12"/>
      <c r="M72" s="12"/>
      <c r="N72" s="13">
        <v>158514</v>
      </c>
      <c r="O72" s="13"/>
      <c r="P72" s="14">
        <f t="shared" si="8"/>
        <v>158514</v>
      </c>
      <c r="Q72" s="11" t="s">
        <v>39</v>
      </c>
      <c r="R72" s="13"/>
      <c r="S72" s="11"/>
      <c r="T72" s="13"/>
      <c r="U72" s="11"/>
      <c r="V72" s="12"/>
      <c r="W72" s="15">
        <v>0</v>
      </c>
      <c r="X72" s="12"/>
      <c r="Y72" s="11"/>
      <c r="Z72" s="12"/>
      <c r="AA72" s="16" t="s">
        <v>89</v>
      </c>
      <c r="AB72" s="17" t="str">
        <f>IFERROR(VLOOKUP(A72,'Go-No-Go'!$A:$M,12,0),"")</f>
        <v/>
      </c>
      <c r="AC72" s="18" t="str">
        <f>IFERROR(VLOOKUP(A72,'Go-No-Go'!$A:$N,14,0),"")</f>
        <v/>
      </c>
      <c r="AD72" s="19" t="str">
        <f t="shared" ca="1" si="9"/>
        <v/>
      </c>
      <c r="AE72" s="20" t="str">
        <f t="shared" ca="1" si="10"/>
        <v>OK</v>
      </c>
      <c r="AF72" s="21" t="str">
        <f t="shared" ca="1" si="11"/>
        <v>[Missing GC] [Lost-No Lost Reason]</v>
      </c>
    </row>
    <row r="73" spans="1:32" ht="18" customHeight="1" x14ac:dyDescent="0.25">
      <c r="A73" s="22" t="s">
        <v>335</v>
      </c>
      <c r="B73" s="22" t="s">
        <v>336</v>
      </c>
      <c r="C73" s="22" t="s">
        <v>294</v>
      </c>
      <c r="D73" s="22" t="s">
        <v>152</v>
      </c>
      <c r="E73" s="22" t="s">
        <v>27</v>
      </c>
      <c r="F73" s="22" t="s">
        <v>90</v>
      </c>
      <c r="G73" s="22" t="s">
        <v>91</v>
      </c>
      <c r="H73" s="22" t="s">
        <v>91</v>
      </c>
      <c r="I73" s="22" t="s">
        <v>41</v>
      </c>
      <c r="J73" s="22" t="s">
        <v>92</v>
      </c>
      <c r="K73" s="23">
        <v>46072.291666666672</v>
      </c>
      <c r="L73" s="23"/>
      <c r="M73" s="23"/>
      <c r="N73" s="24">
        <v>6729530</v>
      </c>
      <c r="O73" s="24">
        <v>4268902</v>
      </c>
      <c r="P73" s="25">
        <f t="shared" si="8"/>
        <v>10998432</v>
      </c>
      <c r="Q73" s="22" t="s">
        <v>39</v>
      </c>
      <c r="R73" s="24"/>
      <c r="S73" s="22" t="s">
        <v>337</v>
      </c>
      <c r="T73" s="24">
        <v>6500000</v>
      </c>
      <c r="U73" s="22" t="s">
        <v>48</v>
      </c>
      <c r="V73" s="23"/>
      <c r="W73" s="26">
        <v>0</v>
      </c>
      <c r="X73" s="23"/>
      <c r="Y73" s="22"/>
      <c r="Z73" s="23">
        <v>46121.25</v>
      </c>
      <c r="AA73" s="27" t="s">
        <v>295</v>
      </c>
      <c r="AB73" s="28" t="str">
        <f>IFERROR(VLOOKUP(A73,'Go-No-Go'!$A:$M,12,0),"")</f>
        <v/>
      </c>
      <c r="AC73" s="29" t="str">
        <f>IFERROR(VLOOKUP(A73,'Go-No-Go'!$A:$N,14,0),"")</f>
        <v/>
      </c>
      <c r="AD73" s="30" t="str">
        <f t="shared" ca="1" si="9"/>
        <v/>
      </c>
      <c r="AE73" s="31" t="str">
        <f t="shared" ca="1" si="10"/>
        <v>OK</v>
      </c>
      <c r="AF73" s="32" t="str">
        <f t="shared" ca="1" si="11"/>
        <v>OK</v>
      </c>
    </row>
    <row r="74" spans="1:32" ht="18" customHeight="1" x14ac:dyDescent="0.25">
      <c r="A74" s="11" t="s">
        <v>338</v>
      </c>
      <c r="B74" s="11" t="s">
        <v>339</v>
      </c>
      <c r="C74" s="11" t="s">
        <v>300</v>
      </c>
      <c r="D74" s="11" t="s">
        <v>89</v>
      </c>
      <c r="E74" s="11" t="s">
        <v>27</v>
      </c>
      <c r="F74" s="11" t="s">
        <v>90</v>
      </c>
      <c r="G74" s="11" t="s">
        <v>91</v>
      </c>
      <c r="H74" s="11" t="s">
        <v>91</v>
      </c>
      <c r="I74" s="11" t="s">
        <v>41</v>
      </c>
      <c r="J74" s="11" t="s">
        <v>92</v>
      </c>
      <c r="K74" s="12">
        <v>46114.25</v>
      </c>
      <c r="L74" s="12"/>
      <c r="M74" s="12"/>
      <c r="N74" s="13">
        <v>5358517</v>
      </c>
      <c r="O74" s="13">
        <v>3970420</v>
      </c>
      <c r="P74" s="14">
        <f t="shared" si="8"/>
        <v>9328937</v>
      </c>
      <c r="Q74" s="11" t="s">
        <v>39</v>
      </c>
      <c r="R74" s="13"/>
      <c r="S74" s="11" t="s">
        <v>340</v>
      </c>
      <c r="T74" s="13">
        <v>7858517</v>
      </c>
      <c r="U74" s="11" t="s">
        <v>48</v>
      </c>
      <c r="V74" s="12"/>
      <c r="W74" s="15">
        <v>0</v>
      </c>
      <c r="X74" s="12"/>
      <c r="Y74" s="11"/>
      <c r="Z74" s="12">
        <v>46147.25</v>
      </c>
      <c r="AA74" s="16" t="s">
        <v>341</v>
      </c>
      <c r="AB74" s="17" t="str">
        <f>IFERROR(VLOOKUP(A74,'Go-No-Go'!$A:$M,12,0),"")</f>
        <v/>
      </c>
      <c r="AC74" s="18" t="str">
        <f>IFERROR(VLOOKUP(A74,'Go-No-Go'!$A:$N,14,0),"")</f>
        <v/>
      </c>
      <c r="AD74" s="19" t="str">
        <f t="shared" ca="1" si="9"/>
        <v/>
      </c>
      <c r="AE74" s="20" t="str">
        <f t="shared" ca="1" si="10"/>
        <v>OK</v>
      </c>
      <c r="AF74" s="21" t="str">
        <f t="shared" ca="1" si="11"/>
        <v>OK</v>
      </c>
    </row>
  </sheetData>
  <conditionalFormatting sqref="A2:AF74">
    <cfRule type="expression" dxfId="29" priority="1">
      <formula>$Q2="Awarded"</formula>
    </cfRule>
    <cfRule type="expression" dxfId="28" priority="2">
      <formula>$Q2="Lost"</formula>
    </cfRule>
  </conditionalFormatting>
  <conditionalFormatting sqref="AC2:AC74">
    <cfRule type="expression" dxfId="27" priority="9">
      <formula>AC2="Go"</formula>
    </cfRule>
    <cfRule type="expression" dxfId="26" priority="10">
      <formula>AC2="No-Go"</formula>
    </cfRule>
    <cfRule type="expression" dxfId="25" priority="11">
      <formula>AC2="Review"</formula>
    </cfRule>
  </conditionalFormatting>
  <conditionalFormatting sqref="AD2:AD74">
    <cfRule type="expression" dxfId="24" priority="6">
      <formula>AND(AD2&gt;60,AD2&lt;&gt;"")</formula>
    </cfRule>
    <cfRule type="expression" dxfId="23" priority="7">
      <formula>AND(AD2&gt;30,AD2&lt;=60,AD2&lt;&gt;"")</formula>
    </cfRule>
  </conditionalFormatting>
  <conditionalFormatting sqref="AE2:AE74">
    <cfRule type="expression" dxfId="22" priority="3">
      <formula>AE2="OVERDUE"</formula>
    </cfRule>
    <cfRule type="expression" dxfId="21" priority="4">
      <formula>AE2="DUE SOON"</formula>
    </cfRule>
    <cfRule type="expression" dxfId="20" priority="5">
      <formula>AE2="MISSING"</formula>
    </cfRule>
  </conditionalFormatting>
  <conditionalFormatting sqref="AF2:AF74">
    <cfRule type="expression" dxfId="19" priority="8">
      <formula>AF2&lt;&gt;"OK"</formula>
    </cfRule>
  </conditionalFormatting>
  <pageMargins left="0.7" right="0.7" top="0.75" bottom="0.75" header="0.3" footer="0.3"/>
  <pageSetup orientation="portrait" horizontalDpi="4294967295" verticalDpi="4294967295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ErrorMessage="1" errorTitle="Invalid Entry" error="Please select from the dropdown list." xr:uid="{00000000-0002-0000-0100-000000000000}">
          <x14:formula1>
            <xm:f>Settings!$E$5:$E$19</xm:f>
          </x14:formula1>
          <xm:sqref>E2:E2001</xm:sqref>
        </x14:dataValidation>
        <x14:dataValidation type="list" allowBlank="1" showErrorMessage="1" errorTitle="Invalid Entry" error="Please select from the dropdown list." xr:uid="{00000000-0002-0000-0100-000001000000}">
          <x14:formula1>
            <xm:f>Settings!$G$5:$G$10</xm:f>
          </x14:formula1>
          <xm:sqref>F2:F2001</xm:sqref>
        </x14:dataValidation>
        <x14:dataValidation type="list" allowBlank="1" showErrorMessage="1" errorTitle="Invalid Entry" error="Please select from the dropdown list." xr:uid="{00000000-0002-0000-0100-000002000000}">
          <x14:formula1>
            <xm:f>Settings!$I$5:$I$11</xm:f>
          </x14:formula1>
          <xm:sqref>G2:G2001</xm:sqref>
        </x14:dataValidation>
        <x14:dataValidation type="list" allowBlank="1" showErrorMessage="1" errorTitle="Invalid Entry" error="Please select from the dropdown list." xr:uid="{00000000-0002-0000-0100-000003000000}">
          <x14:formula1>
            <xm:f>Settings!$K$5:$K$10</xm:f>
          </x14:formula1>
          <xm:sqref>H2:H2001</xm:sqref>
        </x14:dataValidation>
        <x14:dataValidation type="list" allowBlank="1" showErrorMessage="1" errorTitle="Invalid Entry" error="Please select from the dropdown list." xr:uid="{00000000-0002-0000-0100-000004000000}">
          <x14:formula1>
            <xm:f>Settings!$A$5:$A$9</xm:f>
          </x14:formula1>
          <xm:sqref>I2:I2001</xm:sqref>
        </x14:dataValidation>
        <x14:dataValidation type="list" allowBlank="1" showErrorMessage="1" errorTitle="Invalid Entry" error="Please select from the dropdown list." xr:uid="{00000000-0002-0000-0100-000005000000}">
          <x14:formula1>
            <xm:f>Settings!$U$5:$U$6</xm:f>
          </x14:formula1>
          <xm:sqref>J2:J2001</xm:sqref>
        </x14:dataValidation>
        <x14:dataValidation type="list" allowBlank="1" showErrorMessage="1" errorTitle="Invalid Entry" error="Please select from the dropdown list." xr:uid="{00000000-0002-0000-0100-000006000000}">
          <x14:formula1>
            <xm:f>Settings!$C$5:$C$12</xm:f>
          </x14:formula1>
          <xm:sqref>Q2:Q2001</xm:sqref>
        </x14:dataValidation>
        <x14:dataValidation type="list" allowBlank="1" showErrorMessage="1" errorTitle="Invalid Entry" error="Please select from the dropdown list." xr:uid="{00000000-0002-0000-0100-000007000000}">
          <x14:formula1>
            <xm:f>Settings!$M$5:$M$13</xm:f>
          </x14:formula1>
          <xm:sqref>U2:U2001</xm:sqref>
        </x14:dataValidation>
        <x14:dataValidation type="list" allowBlank="1" showErrorMessage="1" errorTitle="Invalid Entry" error="Please select from the dropdown list." xr:uid="{00000000-0002-0000-0100-000008000000}">
          <x14:formula1>
            <xm:f>Settings!$S$5:$S$11</xm:f>
          </x14:formula1>
          <xm:sqref>Y2:Y2001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55A11"/>
  </sheetPr>
  <dimension ref="A1:N13"/>
  <sheetViews>
    <sheetView workbookViewId="0">
      <pane xSplit="3" ySplit="2" topLeftCell="D3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2" customWidth="1"/>
    <col min="2" max="2" width="30" customWidth="1"/>
    <col min="3" max="3" width="22" customWidth="1"/>
    <col min="4" max="4" width="14" customWidth="1"/>
    <col min="5" max="5" width="13" customWidth="1"/>
    <col min="6" max="6" width="14" customWidth="1"/>
    <col min="7" max="7" width="13" customWidth="1"/>
    <col min="8" max="10" width="14" customWidth="1"/>
    <col min="11" max="12" width="13" customWidth="1"/>
    <col min="13" max="13" width="11" customWidth="1"/>
    <col min="14" max="14" width="16" customWidth="1"/>
  </cols>
  <sheetData>
    <row r="1" spans="1:14" ht="50.1" customHeight="1" x14ac:dyDescent="0.25">
      <c r="A1" s="33" t="s">
        <v>57</v>
      </c>
      <c r="B1" s="33" t="s">
        <v>58</v>
      </c>
      <c r="C1" s="33" t="s">
        <v>342</v>
      </c>
      <c r="D1" s="33" t="s">
        <v>343</v>
      </c>
      <c r="E1" s="33" t="s">
        <v>344</v>
      </c>
      <c r="F1" s="33" t="s">
        <v>345</v>
      </c>
      <c r="G1" s="33" t="s">
        <v>346</v>
      </c>
      <c r="H1" s="33" t="s">
        <v>347</v>
      </c>
      <c r="I1" s="33" t="s">
        <v>348</v>
      </c>
      <c r="J1" s="33" t="s">
        <v>349</v>
      </c>
      <c r="K1" s="33" t="s">
        <v>350</v>
      </c>
      <c r="L1" s="33" t="s">
        <v>351</v>
      </c>
      <c r="M1" s="33" t="s">
        <v>352</v>
      </c>
      <c r="N1" s="33" t="s">
        <v>353</v>
      </c>
    </row>
    <row r="2" spans="1:14" ht="30" customHeight="1" x14ac:dyDescent="0.25">
      <c r="A2" s="77" t="s">
        <v>354</v>
      </c>
      <c r="B2" s="77"/>
      <c r="C2" s="77"/>
      <c r="D2" s="34" t="s">
        <v>355</v>
      </c>
      <c r="E2" s="34" t="s">
        <v>356</v>
      </c>
      <c r="F2" s="34" t="s">
        <v>357</v>
      </c>
      <c r="G2" s="34" t="s">
        <v>358</v>
      </c>
      <c r="H2" s="34" t="s">
        <v>359</v>
      </c>
      <c r="I2" s="34" t="s">
        <v>360</v>
      </c>
      <c r="J2" s="34" t="s">
        <v>361</v>
      </c>
      <c r="K2" s="34" t="s">
        <v>362</v>
      </c>
    </row>
    <row r="3" spans="1:14" ht="18" customHeight="1" x14ac:dyDescent="0.25">
      <c r="A3" s="31" t="s">
        <v>86</v>
      </c>
      <c r="B3" s="22" t="str">
        <f>IFERROR(VLOOKUP(A3,'Bid Log'!$A:$B,2,0),"")</f>
        <v>SLCC LAB Remodel</v>
      </c>
      <c r="C3" s="22" t="str">
        <f>IFERROR(VLOOKUP(A3,'Bid Log'!$A:$C,3,0),"")</f>
        <v>Judd</v>
      </c>
      <c r="D3" s="35">
        <v>4</v>
      </c>
      <c r="E3" s="35">
        <v>5</v>
      </c>
      <c r="F3" s="35">
        <v>4</v>
      </c>
      <c r="G3" s="35">
        <v>4</v>
      </c>
      <c r="H3" s="35">
        <v>4</v>
      </c>
      <c r="I3" s="35">
        <v>4</v>
      </c>
      <c r="J3" s="35">
        <v>4</v>
      </c>
      <c r="K3" s="35">
        <v>3</v>
      </c>
      <c r="L3" s="35">
        <f t="shared" ref="L3:L11" si="0">SUM(D3:K3)</f>
        <v>32</v>
      </c>
      <c r="M3" s="36">
        <f t="shared" ref="M3:M11" si="1">IF(L3&gt;0,L3/40,"")</f>
        <v>0.8</v>
      </c>
      <c r="N3" s="37" t="str">
        <f t="shared" ref="N3:N11" si="2">IF(M3="","",IF(M3&gt;=0.7,"Go",IF(M3&gt;=0.5,"Review","No-Go")))</f>
        <v>Go</v>
      </c>
    </row>
    <row r="4" spans="1:14" ht="18" customHeight="1" x14ac:dyDescent="0.25">
      <c r="A4" s="20" t="s">
        <v>99</v>
      </c>
      <c r="B4" s="11" t="str">
        <f>IFERROR(VLOOKUP(A4,'Bid Log'!$A:$B,2,0),"")</f>
        <v>Everhome Suites</v>
      </c>
      <c r="C4" s="11" t="str">
        <f>IFERROR(VLOOKUP(A4,'Bid Log'!$A:$C,3,0),"")</f>
        <v>Big-D</v>
      </c>
      <c r="D4" s="38">
        <v>3</v>
      </c>
      <c r="E4" s="38">
        <v>5</v>
      </c>
      <c r="F4" s="38">
        <v>3</v>
      </c>
      <c r="G4" s="38">
        <v>3</v>
      </c>
      <c r="H4" s="38">
        <v>4</v>
      </c>
      <c r="I4" s="38">
        <v>4</v>
      </c>
      <c r="J4" s="38">
        <v>5</v>
      </c>
      <c r="K4" s="38">
        <v>3</v>
      </c>
      <c r="L4" s="38">
        <f t="shared" si="0"/>
        <v>30</v>
      </c>
      <c r="M4" s="39">
        <f t="shared" si="1"/>
        <v>0.75</v>
      </c>
      <c r="N4" s="40" t="str">
        <f t="shared" si="2"/>
        <v>Go</v>
      </c>
    </row>
    <row r="5" spans="1:14" ht="18" customHeight="1" x14ac:dyDescent="0.25">
      <c r="A5" s="31" t="s">
        <v>108</v>
      </c>
      <c r="B5" s="22" t="str">
        <f>IFERROR(VLOOKUP(A5,'Bid Log'!$A:$B,2,0),"")</f>
        <v>Crown Apt Remodel</v>
      </c>
      <c r="C5" s="22" t="str">
        <f>IFERROR(VLOOKUP(A5,'Bid Log'!$A:$C,3,0),"")</f>
        <v>Lotus</v>
      </c>
      <c r="D5" s="35">
        <v>5</v>
      </c>
      <c r="E5" s="35">
        <v>5</v>
      </c>
      <c r="F5" s="35">
        <v>4</v>
      </c>
      <c r="G5" s="35">
        <v>4</v>
      </c>
      <c r="H5" s="35">
        <v>5</v>
      </c>
      <c r="I5" s="35">
        <v>4</v>
      </c>
      <c r="J5" s="35">
        <v>5</v>
      </c>
      <c r="K5" s="35">
        <v>4</v>
      </c>
      <c r="L5" s="35">
        <f t="shared" si="0"/>
        <v>36</v>
      </c>
      <c r="M5" s="36">
        <f t="shared" si="1"/>
        <v>0.9</v>
      </c>
      <c r="N5" s="37" t="str">
        <f t="shared" si="2"/>
        <v>Go</v>
      </c>
    </row>
    <row r="6" spans="1:14" ht="18" customHeight="1" x14ac:dyDescent="0.25">
      <c r="A6" s="20" t="s">
        <v>115</v>
      </c>
      <c r="B6" s="11" t="str">
        <f>IFERROR(VLOOKUP(A6,'Bid Log'!$A:$B,2,0),"")</f>
        <v>Jordan Valley Lots 8, 9, 10</v>
      </c>
      <c r="C6" s="11" t="str">
        <f>IFERROR(VLOOKUP(A6,'Bid Log'!$A:$C,3,0),"")</f>
        <v>BCC</v>
      </c>
      <c r="D6" s="38">
        <v>2</v>
      </c>
      <c r="E6" s="38">
        <v>4</v>
      </c>
      <c r="F6" s="38">
        <v>3</v>
      </c>
      <c r="G6" s="38">
        <v>3</v>
      </c>
      <c r="H6" s="38">
        <v>3</v>
      </c>
      <c r="I6" s="38">
        <v>4</v>
      </c>
      <c r="J6" s="38">
        <v>5</v>
      </c>
      <c r="K6" s="38">
        <v>2</v>
      </c>
      <c r="L6" s="38">
        <f t="shared" si="0"/>
        <v>26</v>
      </c>
      <c r="M6" s="39">
        <f t="shared" si="1"/>
        <v>0.65</v>
      </c>
      <c r="N6" s="40" t="str">
        <f t="shared" si="2"/>
        <v>Review</v>
      </c>
    </row>
    <row r="7" spans="1:14" ht="18" customHeight="1" x14ac:dyDescent="0.25">
      <c r="A7" s="31" t="s">
        <v>123</v>
      </c>
      <c r="B7" s="22" t="str">
        <f>IFERROR(VLOOKUP(A7,'Bid Log'!$A:$B,2,0),"")</f>
        <v>Antelope Station</v>
      </c>
      <c r="C7" s="22" t="str">
        <f>IFERROR(VLOOKUP(A7,'Bid Log'!$A:$C,3,0),"")</f>
        <v>Revival Development</v>
      </c>
      <c r="D7" s="35">
        <v>3</v>
      </c>
      <c r="E7" s="35">
        <v>4</v>
      </c>
      <c r="F7" s="35">
        <v>5</v>
      </c>
      <c r="G7" s="35">
        <v>4</v>
      </c>
      <c r="H7" s="35">
        <v>3</v>
      </c>
      <c r="I7" s="35">
        <v>4</v>
      </c>
      <c r="J7" s="35">
        <v>3</v>
      </c>
      <c r="K7" s="35">
        <v>3</v>
      </c>
      <c r="L7" s="35">
        <f t="shared" si="0"/>
        <v>29</v>
      </c>
      <c r="M7" s="36">
        <f t="shared" si="1"/>
        <v>0.72499999999999998</v>
      </c>
      <c r="N7" s="37" t="str">
        <f t="shared" si="2"/>
        <v>Go</v>
      </c>
    </row>
    <row r="8" spans="1:14" ht="18" customHeight="1" x14ac:dyDescent="0.25">
      <c r="A8" s="20" t="s">
        <v>129</v>
      </c>
      <c r="B8" s="11" t="str">
        <f>IFERROR(VLOOKUP(A8,'Bid Log'!$A:$B,2,0),"")</f>
        <v>HH Parking Structure</v>
      </c>
      <c r="C8" s="11" t="str">
        <f>IFERROR(VLOOKUP(A8,'Bid Log'!$A:$C,3,0),"")</f>
        <v>Wadman</v>
      </c>
      <c r="D8" s="38">
        <v>3</v>
      </c>
      <c r="E8" s="38">
        <v>3</v>
      </c>
      <c r="F8" s="38">
        <v>2</v>
      </c>
      <c r="G8" s="38">
        <v>4</v>
      </c>
      <c r="H8" s="38">
        <v>4</v>
      </c>
      <c r="I8" s="38">
        <v>3</v>
      </c>
      <c r="J8" s="38">
        <v>3</v>
      </c>
      <c r="K8" s="38">
        <v>4</v>
      </c>
      <c r="L8" s="38">
        <f t="shared" si="0"/>
        <v>26</v>
      </c>
      <c r="M8" s="39">
        <f t="shared" si="1"/>
        <v>0.65</v>
      </c>
      <c r="N8" s="40" t="str">
        <f t="shared" si="2"/>
        <v>Review</v>
      </c>
    </row>
    <row r="9" spans="1:14" ht="18" customHeight="1" x14ac:dyDescent="0.25">
      <c r="A9" s="31" t="s">
        <v>134</v>
      </c>
      <c r="B9" s="22" t="str">
        <f>IFERROR(VLOOKUP(A9,'Bid Log'!$A:$B,2,0),"")</f>
        <v>The Royce</v>
      </c>
      <c r="C9" s="22" t="str">
        <f>IFERROR(VLOOKUP(A9,'Bid Log'!$A:$C,3,0),"")</f>
        <v>Wadman</v>
      </c>
      <c r="D9" s="35">
        <v>4</v>
      </c>
      <c r="E9" s="35">
        <v>4</v>
      </c>
      <c r="F9" s="35">
        <v>3</v>
      </c>
      <c r="G9" s="35">
        <v>2</v>
      </c>
      <c r="H9" s="35">
        <v>3</v>
      </c>
      <c r="I9" s="35">
        <v>5</v>
      </c>
      <c r="J9" s="35">
        <v>5</v>
      </c>
      <c r="K9" s="35">
        <v>3</v>
      </c>
      <c r="L9" s="35">
        <f t="shared" si="0"/>
        <v>29</v>
      </c>
      <c r="M9" s="36">
        <f t="shared" si="1"/>
        <v>0.72499999999999998</v>
      </c>
      <c r="N9" s="37" t="str">
        <f t="shared" si="2"/>
        <v>Go</v>
      </c>
    </row>
    <row r="10" spans="1:14" ht="18" customHeight="1" x14ac:dyDescent="0.25">
      <c r="A10" s="20" t="s">
        <v>137</v>
      </c>
      <c r="B10" s="11" t="str">
        <f>IFERROR(VLOOKUP(A10,'Bid Log'!$A:$B,2,0),"")</f>
        <v>Crossroads Urban Center</v>
      </c>
      <c r="C10" s="11" t="str">
        <f>IFERROR(VLOOKUP(A10,'Bid Log'!$A:$C,3,0),"")</f>
        <v>Cameron</v>
      </c>
      <c r="D10" s="38">
        <v>3</v>
      </c>
      <c r="E10" s="38">
        <v>4</v>
      </c>
      <c r="F10" s="38">
        <v>3</v>
      </c>
      <c r="G10" s="38">
        <v>4</v>
      </c>
      <c r="H10" s="38">
        <v>4</v>
      </c>
      <c r="I10" s="38">
        <v>4</v>
      </c>
      <c r="J10" s="38">
        <v>4</v>
      </c>
      <c r="K10" s="38">
        <v>4</v>
      </c>
      <c r="L10" s="38">
        <f t="shared" si="0"/>
        <v>30</v>
      </c>
      <c r="M10" s="39">
        <f t="shared" si="1"/>
        <v>0.75</v>
      </c>
      <c r="N10" s="40" t="str">
        <f t="shared" si="2"/>
        <v>Go</v>
      </c>
    </row>
    <row r="11" spans="1:14" ht="18" customHeight="1" x14ac:dyDescent="0.25">
      <c r="A11" s="31" t="s">
        <v>145</v>
      </c>
      <c r="B11" s="22" t="str">
        <f>IFERROR(VLOOKUP(A11,'Bid Log'!$A:$B,2,0),"")</f>
        <v>Goodyear Flex Bldg</v>
      </c>
      <c r="C11" s="22" t="str">
        <f>IFERROR(VLOOKUP(A11,'Bid Log'!$A:$C,3,0),"")</f>
        <v>Campbell</v>
      </c>
      <c r="D11" s="35">
        <v>2</v>
      </c>
      <c r="E11" s="35">
        <v>5</v>
      </c>
      <c r="F11" s="35">
        <v>2</v>
      </c>
      <c r="G11" s="35">
        <v>2</v>
      </c>
      <c r="H11" s="35">
        <v>3</v>
      </c>
      <c r="I11" s="35">
        <v>5</v>
      </c>
      <c r="J11" s="35">
        <v>5</v>
      </c>
      <c r="K11" s="35">
        <v>2</v>
      </c>
      <c r="L11" s="35">
        <f t="shared" si="0"/>
        <v>26</v>
      </c>
      <c r="M11" s="36">
        <f t="shared" si="1"/>
        <v>0.65</v>
      </c>
      <c r="N11" s="37" t="str">
        <f t="shared" si="2"/>
        <v>Review</v>
      </c>
    </row>
    <row r="13" spans="1:14" ht="20.100000000000001" customHeight="1" x14ac:dyDescent="0.25">
      <c r="A13" s="78" t="s">
        <v>363</v>
      </c>
      <c r="B13" s="78"/>
      <c r="C13" s="78"/>
      <c r="D13" s="78"/>
      <c r="E13" s="78"/>
      <c r="F13" s="78"/>
      <c r="G13" s="78"/>
      <c r="H13" s="78"/>
      <c r="I13" s="78"/>
      <c r="J13" s="78"/>
      <c r="K13" s="78"/>
      <c r="L13" s="78"/>
      <c r="M13" s="78"/>
      <c r="N13" s="78"/>
    </row>
  </sheetData>
  <mergeCells count="2">
    <mergeCell ref="A2:C2"/>
    <mergeCell ref="A13:N13"/>
  </mergeCells>
  <conditionalFormatting sqref="D3:K11">
    <cfRule type="expression" dxfId="18" priority="6">
      <formula>D3&lt;=2</formula>
    </cfRule>
    <cfRule type="expression" dxfId="17" priority="7">
      <formula>D3&gt;=4</formula>
    </cfRule>
  </conditionalFormatting>
  <conditionalFormatting sqref="M3:M11">
    <cfRule type="expression" dxfId="16" priority="4">
      <formula>AND(M3&gt;=0.7,M3&lt;&gt;"")</formula>
    </cfRule>
    <cfRule type="expression" dxfId="15" priority="5">
      <formula>AND(M3&lt;0.5,M3&lt;&gt;"")</formula>
    </cfRule>
  </conditionalFormatting>
  <conditionalFormatting sqref="N3:N11">
    <cfRule type="expression" dxfId="14" priority="1">
      <formula>N3="Go"</formula>
    </cfRule>
    <cfRule type="expression" dxfId="13" priority="2">
      <formula>N3="No-Go"</formula>
    </cfRule>
    <cfRule type="expression" dxfId="12" priority="3">
      <formula>N3="Review"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4B0082"/>
  </sheetPr>
  <dimension ref="B1:H45"/>
  <sheetViews>
    <sheetView showGridLines="0" workbookViewId="0"/>
  </sheetViews>
  <sheetFormatPr defaultRowHeight="15" x14ac:dyDescent="0.25"/>
  <cols>
    <col min="1" max="1" width="2" customWidth="1"/>
    <col min="2" max="2" width="25" customWidth="1"/>
    <col min="3" max="3" width="20" customWidth="1"/>
    <col min="4" max="4" width="16" customWidth="1"/>
    <col min="5" max="6" width="18" customWidth="1"/>
    <col min="7" max="8" width="14" customWidth="1"/>
    <col min="9" max="9" width="2" customWidth="1"/>
  </cols>
  <sheetData>
    <row r="1" spans="2:8" ht="33.950000000000003" customHeight="1" x14ac:dyDescent="0.25">
      <c r="B1" s="53" t="str">
        <f ca="1">"ASM FRIDAY ESTIMATING MEETING  |  "&amp;TEXT(TODAY(),"mmmm d, yyyy")</f>
        <v>ASM FRIDAY ESTIMATING MEETING  |  May 13, 2026</v>
      </c>
      <c r="C1" s="53"/>
      <c r="D1" s="53"/>
      <c r="E1" s="53"/>
      <c r="F1" s="53"/>
      <c r="G1" s="53"/>
      <c r="H1" s="53"/>
    </row>
    <row r="2" spans="2:8" ht="21.95" customHeight="1" x14ac:dyDescent="0.25">
      <c r="B2" s="79" t="s">
        <v>364</v>
      </c>
      <c r="C2" s="79"/>
      <c r="D2" s="79"/>
      <c r="E2" s="79"/>
      <c r="F2" s="79"/>
      <c r="G2" s="79"/>
      <c r="H2" s="79"/>
    </row>
    <row r="3" spans="2:8" ht="8.1" customHeight="1" x14ac:dyDescent="0.25"/>
    <row r="4" spans="2:8" ht="21.95" customHeight="1" x14ac:dyDescent="0.25">
      <c r="B4" s="80" t="s">
        <v>365</v>
      </c>
      <c r="C4" s="80"/>
      <c r="D4" s="80"/>
      <c r="E4" s="80"/>
      <c r="F4" s="80"/>
      <c r="G4" s="80"/>
      <c r="H4" s="80"/>
    </row>
    <row r="5" spans="2:8" ht="20.100000000000001" customHeight="1" x14ac:dyDescent="0.25">
      <c r="B5" s="81" t="s">
        <v>366</v>
      </c>
      <c r="C5" s="81"/>
      <c r="D5" s="81"/>
      <c r="E5" s="41">
        <f ca="1">COUNTIFS('Bid Log'!L:L,"&gt;="&amp;TODAY(),'Bid Log'!L:L,"&lt;="&amp;TODAY()+7,'Bid Log'!Q:Q,"In Progress")</f>
        <v>0</v>
      </c>
    </row>
    <row r="6" spans="2:8" ht="20.100000000000001" customHeight="1" x14ac:dyDescent="0.25">
      <c r="B6" s="81" t="s">
        <v>367</v>
      </c>
      <c r="C6" s="81"/>
      <c r="D6" s="81"/>
      <c r="E6" s="41">
        <f ca="1">COUNTIFS('Bid Log'!L:L,"&gt;="&amp;TODAY()+8,'Bid Log'!L:L,"&lt;="&amp;TODAY()+14,'Bid Log'!Q:Q,"In Progress")</f>
        <v>0</v>
      </c>
    </row>
    <row r="7" spans="2:8" ht="20.100000000000001" customHeight="1" x14ac:dyDescent="0.25">
      <c r="B7" s="81" t="s">
        <v>368</v>
      </c>
      <c r="C7" s="81"/>
      <c r="D7" s="81"/>
      <c r="E7" s="42">
        <f ca="1">IFERROR(SUMIFS('Bid Log'!P:P,'Bid Log'!L:L,"&gt;="&amp;TODAY(),'Bid Log'!L:L,"&lt;="&amp;TODAY()+14,'Bid Log'!Q:Q,"In Progress"),0)</f>
        <v>0</v>
      </c>
    </row>
    <row r="8" spans="2:8" ht="15.95" customHeight="1" x14ac:dyDescent="0.25">
      <c r="B8" s="82" t="s">
        <v>369</v>
      </c>
      <c r="C8" s="82"/>
      <c r="D8" s="82"/>
      <c r="E8" s="82"/>
      <c r="F8" s="82"/>
      <c r="G8" s="82"/>
      <c r="H8" s="82"/>
    </row>
    <row r="9" spans="2:8" ht="8.1" customHeight="1" x14ac:dyDescent="0.25"/>
    <row r="10" spans="2:8" ht="21.95" customHeight="1" x14ac:dyDescent="0.25">
      <c r="B10" s="83" t="s">
        <v>370</v>
      </c>
      <c r="C10" s="83"/>
      <c r="D10" s="83"/>
      <c r="E10" s="83"/>
      <c r="F10" s="83"/>
      <c r="G10" s="83"/>
      <c r="H10" s="83"/>
    </row>
    <row r="11" spans="2:8" ht="20.100000000000001" customHeight="1" x14ac:dyDescent="0.25">
      <c r="B11" s="81" t="s">
        <v>371</v>
      </c>
      <c r="C11" s="81"/>
      <c r="D11" s="81"/>
      <c r="E11" s="41">
        <f ca="1">COUNTIF('Bid Log'!AE:AE,"OVERDUE")</f>
        <v>0</v>
      </c>
    </row>
    <row r="12" spans="2:8" ht="20.100000000000001" customHeight="1" x14ac:dyDescent="0.25">
      <c r="B12" s="81" t="s">
        <v>372</v>
      </c>
      <c r="C12" s="81"/>
      <c r="D12" s="81"/>
      <c r="E12" s="41">
        <f ca="1">COUNTIF('Bid Log'!AE:AE,"DUE SOON")</f>
        <v>0</v>
      </c>
    </row>
    <row r="13" spans="2:8" ht="20.100000000000001" customHeight="1" x14ac:dyDescent="0.25">
      <c r="B13" s="81" t="s">
        <v>373</v>
      </c>
      <c r="C13" s="81"/>
      <c r="D13" s="81"/>
      <c r="E13" s="41">
        <f ca="1">COUNTIF('Bid Log'!AE:AE,"MISSING")</f>
        <v>51</v>
      </c>
    </row>
    <row r="14" spans="2:8" ht="20.100000000000001" customHeight="1" x14ac:dyDescent="0.25">
      <c r="B14" s="81" t="s">
        <v>374</v>
      </c>
      <c r="C14" s="81"/>
      <c r="D14" s="81"/>
      <c r="E14" s="41">
        <f ca="1">COUNTIFS('Bid Log'!AD:AD,"&gt;30",'Bid Log'!AD:AD,"&lt;&gt;")</f>
        <v>48</v>
      </c>
    </row>
    <row r="15" spans="2:8" ht="20.100000000000001" customHeight="1" x14ac:dyDescent="0.25">
      <c r="B15" s="81" t="s">
        <v>375</v>
      </c>
      <c r="C15" s="81"/>
      <c r="D15" s="81"/>
      <c r="E15" s="41">
        <f ca="1">COUNTIFS('Bid Log'!AD:AD,"&gt;60",'Bid Log'!AD:AD,"&lt;&gt;")</f>
        <v>31</v>
      </c>
    </row>
    <row r="16" spans="2:8" ht="15.95" customHeight="1" x14ac:dyDescent="0.25">
      <c r="B16" s="82" t="s">
        <v>376</v>
      </c>
      <c r="C16" s="82"/>
      <c r="D16" s="82"/>
      <c r="E16" s="82"/>
      <c r="F16" s="82"/>
      <c r="G16" s="82"/>
      <c r="H16" s="82"/>
    </row>
    <row r="17" spans="2:8" ht="8.1" customHeight="1" x14ac:dyDescent="0.25"/>
    <row r="18" spans="2:8" ht="21.95" customHeight="1" x14ac:dyDescent="0.25">
      <c r="B18" s="84" t="s">
        <v>377</v>
      </c>
      <c r="C18" s="84"/>
      <c r="D18" s="84"/>
      <c r="E18" s="84"/>
      <c r="F18" s="84"/>
      <c r="G18" s="84"/>
      <c r="H18" s="84"/>
    </row>
    <row r="19" spans="2:8" ht="20.100000000000001" customHeight="1" x14ac:dyDescent="0.25">
      <c r="B19" s="81" t="s">
        <v>378</v>
      </c>
      <c r="C19" s="81"/>
      <c r="D19" s="81"/>
      <c r="E19" s="41">
        <f ca="1">COUNTIFS('Bid Log'!V:V,"&gt;="&amp;DATE(YEAR(TODAY()),MONTH(TODAY()),1),'Bid Log'!V:V,"&lt;="&amp;EOMONTH(TODAY(),0),'Bid Log'!Q:Q,"Bid Submitted")</f>
        <v>0</v>
      </c>
    </row>
    <row r="20" spans="2:8" ht="20.100000000000001" customHeight="1" x14ac:dyDescent="0.25">
      <c r="B20" s="81" t="s">
        <v>379</v>
      </c>
      <c r="C20" s="81"/>
      <c r="D20" s="81"/>
      <c r="E20" s="42">
        <f ca="1">IFERROR(SUMPRODUCT((MONTH('Bid Log'!V2:V2001)=MONTH(TODAY()))*(YEAR('Bid Log'!V2:V2001)=YEAR(TODAY()))*('Bid Log'!Q2:Q2001="Bid Submitted")*'Bid Log'!P2:P2001),0)</f>
        <v>0</v>
      </c>
    </row>
    <row r="21" spans="2:8" ht="20.100000000000001" customHeight="1" x14ac:dyDescent="0.25">
      <c r="B21" s="81" t="s">
        <v>380</v>
      </c>
      <c r="C21" s="81"/>
      <c r="D21" s="81"/>
      <c r="E21" s="41">
        <f>IFERROR(SUMPRODUCT((('Bid Log'!Q2:Q2001="Bid Submitted")+('Bid Log'!Q2:Q2001="Budget Submitted")&gt;0)*('Bid Log'!W2:W2001&gt;=0.7)),0)</f>
        <v>0</v>
      </c>
    </row>
    <row r="22" spans="2:8" ht="20.100000000000001" customHeight="1" x14ac:dyDescent="0.25">
      <c r="B22" s="81" t="s">
        <v>381</v>
      </c>
      <c r="C22" s="81"/>
      <c r="D22" s="81"/>
      <c r="E22" s="42">
        <f>IFERROR(SUMPRODUCT((('Bid Log'!Q2:Q2001="Bid Submitted")+('Bid Log'!Q2:Q2001="Budget Submitted")&gt;0)*('Bid Log'!W2:W2001&gt;=0.7)*'Bid Log'!P2:P2001),0)</f>
        <v>0</v>
      </c>
    </row>
    <row r="23" spans="2:8" ht="15.95" customHeight="1" x14ac:dyDescent="0.25">
      <c r="B23" s="82" t="s">
        <v>382</v>
      </c>
      <c r="C23" s="82"/>
      <c r="D23" s="82"/>
      <c r="E23" s="82"/>
      <c r="F23" s="82"/>
      <c r="G23" s="82"/>
      <c r="H23" s="82"/>
    </row>
    <row r="24" spans="2:8" ht="8.1" customHeight="1" x14ac:dyDescent="0.25"/>
    <row r="25" spans="2:8" ht="21.95" customHeight="1" x14ac:dyDescent="0.25">
      <c r="B25" s="85" t="s">
        <v>383</v>
      </c>
      <c r="C25" s="85"/>
      <c r="D25" s="85"/>
      <c r="E25" s="85"/>
      <c r="F25" s="85"/>
      <c r="G25" s="85"/>
      <c r="H25" s="85"/>
    </row>
    <row r="26" spans="2:8" ht="20.100000000000001" customHeight="1" x14ac:dyDescent="0.25">
      <c r="B26" s="81" t="s">
        <v>384</v>
      </c>
      <c r="C26" s="81"/>
      <c r="D26" s="81"/>
      <c r="E26" s="41">
        <f>COUNTIF('Bid Log'!AC:AC,"No-Go")</f>
        <v>0</v>
      </c>
    </row>
    <row r="27" spans="2:8" ht="20.100000000000001" customHeight="1" x14ac:dyDescent="0.25">
      <c r="B27" s="81" t="s">
        <v>385</v>
      </c>
      <c r="C27" s="81"/>
      <c r="D27" s="81"/>
      <c r="E27" s="41">
        <f>COUNTIF('Bid Log'!AC:AC,"Review")</f>
        <v>3</v>
      </c>
    </row>
    <row r="28" spans="2:8" ht="20.100000000000001" customHeight="1" x14ac:dyDescent="0.25">
      <c r="B28" s="81" t="s">
        <v>386</v>
      </c>
      <c r="C28" s="81"/>
      <c r="D28" s="81"/>
      <c r="E28" s="41">
        <f>COUNTIFS('Bid Log'!Q:Q,"In Progress",'Bid Log'!AB:AB,"")</f>
        <v>6</v>
      </c>
    </row>
    <row r="29" spans="2:8" ht="15.95" customHeight="1" x14ac:dyDescent="0.25">
      <c r="B29" s="82" t="s">
        <v>387</v>
      </c>
      <c r="C29" s="82"/>
      <c r="D29" s="82"/>
      <c r="E29" s="82"/>
      <c r="F29" s="82"/>
      <c r="G29" s="82"/>
      <c r="H29" s="82"/>
    </row>
    <row r="30" spans="2:8" ht="8.1" customHeight="1" x14ac:dyDescent="0.25"/>
    <row r="31" spans="2:8" ht="21.95" customHeight="1" x14ac:dyDescent="0.25">
      <c r="B31" s="69" t="s">
        <v>388</v>
      </c>
      <c r="C31" s="69"/>
      <c r="D31" s="69"/>
      <c r="E31" s="69"/>
      <c r="F31" s="69"/>
      <c r="G31" s="69"/>
      <c r="H31" s="69"/>
    </row>
    <row r="32" spans="2:8" ht="20.100000000000001" customHeight="1" x14ac:dyDescent="0.25">
      <c r="B32" s="81" t="s">
        <v>389</v>
      </c>
      <c r="C32" s="81"/>
      <c r="D32" s="81"/>
      <c r="E32" s="41">
        <f ca="1">COUNTIFS('Bid Log'!Z:Z,"&gt;="&amp;TODAY()-30,'Bid Log'!Q:Q,"Awarded")</f>
        <v>0</v>
      </c>
    </row>
    <row r="33" spans="2:8" ht="20.100000000000001" customHeight="1" x14ac:dyDescent="0.25">
      <c r="B33" s="81" t="s">
        <v>390</v>
      </c>
      <c r="C33" s="81"/>
      <c r="D33" s="81"/>
      <c r="E33" s="42">
        <f ca="1">IFERROR(SUMPRODUCT(('Bid Log'!Z2:Z2001&gt;=TODAY()-30)*('Bid Log'!Q2:Q2001="Awarded")*'Bid Log'!R2:R2001),0)</f>
        <v>0</v>
      </c>
    </row>
    <row r="34" spans="2:8" ht="20.100000000000001" customHeight="1" x14ac:dyDescent="0.25">
      <c r="B34" s="81" t="s">
        <v>391</v>
      </c>
      <c r="C34" s="81"/>
      <c r="D34" s="81"/>
      <c r="E34" s="41">
        <f ca="1">COUNTIFS('Bid Log'!Z:Z,"&gt;="&amp;TODAY()-30,'Bid Log'!Q:Q,"Lost")</f>
        <v>5</v>
      </c>
    </row>
    <row r="35" spans="2:8" ht="20.100000000000001" customHeight="1" x14ac:dyDescent="0.25">
      <c r="B35" s="81" t="s">
        <v>392</v>
      </c>
      <c r="C35" s="81"/>
      <c r="D35" s="81"/>
      <c r="E35" s="42">
        <f ca="1">IFERROR(SUMPRODUCT(('Bid Log'!Z2:Z2001&gt;=TODAY()-30)*('Bid Log'!Q2:Q2001="Lost")*'Bid Log'!P2:P2001),0)</f>
        <v>0</v>
      </c>
    </row>
    <row r="36" spans="2:8" ht="15.95" customHeight="1" x14ac:dyDescent="0.25">
      <c r="B36" s="82" t="s">
        <v>393</v>
      </c>
      <c r="C36" s="82"/>
      <c r="D36" s="82"/>
      <c r="E36" s="82"/>
      <c r="F36" s="82"/>
      <c r="G36" s="82"/>
      <c r="H36" s="82"/>
    </row>
    <row r="37" spans="2:8" ht="8.1" customHeight="1" x14ac:dyDescent="0.25"/>
    <row r="38" spans="2:8" ht="21.95" customHeight="1" x14ac:dyDescent="0.25">
      <c r="B38" s="69" t="s">
        <v>394</v>
      </c>
      <c r="C38" s="69"/>
      <c r="D38" s="69"/>
      <c r="E38" s="69"/>
      <c r="F38" s="69"/>
      <c r="G38" s="69"/>
      <c r="H38" s="69"/>
    </row>
    <row r="39" spans="2:8" ht="18" customHeight="1" x14ac:dyDescent="0.25">
      <c r="C39" s="1" t="s">
        <v>395</v>
      </c>
      <c r="D39" s="1" t="s">
        <v>36</v>
      </c>
      <c r="E39" s="1" t="s">
        <v>37</v>
      </c>
      <c r="F39" s="1" t="s">
        <v>396</v>
      </c>
    </row>
    <row r="40" spans="2:8" ht="15.95" customHeight="1" x14ac:dyDescent="0.25">
      <c r="C40" s="2" t="s">
        <v>40</v>
      </c>
      <c r="D40" s="43">
        <f>COUNTIFS('Bid Log'!I:I,"Patrick",'Bid Log'!Q:Q,"Bid Submitted")+COUNTIFS('Bid Log'!I:I,"Patrick",'Bid Log'!Q:Q,"Budget Submitted")+COUNTIFS('Bid Log'!I:I,"Patrick",'Bid Log'!Q:Q,"In Progress")</f>
        <v>35</v>
      </c>
      <c r="E40" s="4">
        <f>IFERROR(SUMIFS('Bid Log'!P:P,'Bid Log'!I:I,"Patrick",'Bid Log'!Q:Q,"Bid Submitted")+SUMIFS('Bid Log'!P:P,'Bid Log'!I:I,"Patrick",'Bid Log'!Q:Q,"Budget Submitted")+SUMIFS('Bid Log'!P:P,'Bid Log'!I:I,"Patrick",'Bid Log'!Q:Q,"In Progress"),0)</f>
        <v>94086665</v>
      </c>
      <c r="F40" s="43">
        <f ca="1">COUNTIFS('Bid Log'!I:I,"Patrick",'Bid Log'!L:L,"&gt;="&amp;TODAY(),'Bid Log'!L:L,"&lt;="&amp;TODAY()+14)</f>
        <v>0</v>
      </c>
    </row>
    <row r="41" spans="2:8" ht="15.95" customHeight="1" x14ac:dyDescent="0.25">
      <c r="C41" s="6" t="s">
        <v>41</v>
      </c>
      <c r="D41" s="44">
        <f>COUNTIFS('Bid Log'!I:I,"Cristhian",'Bid Log'!Q:Q,"Bid Submitted")+COUNTIFS('Bid Log'!I:I,"Cristhian",'Bid Log'!Q:Q,"Budget Submitted")+COUNTIFS('Bid Log'!I:I,"Cristhian",'Bid Log'!Q:Q,"In Progress")</f>
        <v>16</v>
      </c>
      <c r="E41" s="8">
        <f>IFERROR(SUMIFS('Bid Log'!P:P,'Bid Log'!I:I,"Cristhian",'Bid Log'!Q:Q,"Bid Submitted")+SUMIFS('Bid Log'!P:P,'Bid Log'!I:I,"Cristhian",'Bid Log'!Q:Q,"Budget Submitted")+SUMIFS('Bid Log'!P:P,'Bid Log'!I:I,"Cristhian",'Bid Log'!Q:Q,"In Progress"),0)</f>
        <v>70533245</v>
      </c>
      <c r="F41" s="44">
        <f ca="1">COUNTIFS('Bid Log'!I:I,"Cristhian",'Bid Log'!L:L,"&gt;="&amp;TODAY(),'Bid Log'!L:L,"&lt;="&amp;TODAY()+14)</f>
        <v>0</v>
      </c>
    </row>
    <row r="42" spans="2:8" ht="15.95" customHeight="1" x14ac:dyDescent="0.25">
      <c r="C42" s="2" t="s">
        <v>42</v>
      </c>
      <c r="D42" s="43">
        <f>COUNTIFS('Bid Log'!I:I,"Les",'Bid Log'!Q:Q,"Bid Submitted")+COUNTIFS('Bid Log'!I:I,"Les",'Bid Log'!Q:Q,"Budget Submitted")+COUNTIFS('Bid Log'!I:I,"Les",'Bid Log'!Q:Q,"In Progress")</f>
        <v>4</v>
      </c>
      <c r="E42" s="4">
        <f>IFERROR(SUMIFS('Bid Log'!P:P,'Bid Log'!I:I,"Les",'Bid Log'!Q:Q,"Bid Submitted")+SUMIFS('Bid Log'!P:P,'Bid Log'!I:I,"Les",'Bid Log'!Q:Q,"Budget Submitted")+SUMIFS('Bid Log'!P:P,'Bid Log'!I:I,"Les",'Bid Log'!Q:Q,"In Progress"),0)</f>
        <v>16252808</v>
      </c>
      <c r="F42" s="43">
        <f ca="1">COUNTIFS('Bid Log'!I:I,"Les",'Bid Log'!L:L,"&gt;="&amp;TODAY(),'Bid Log'!L:L,"&lt;="&amp;TODAY()+14)</f>
        <v>0</v>
      </c>
    </row>
    <row r="43" spans="2:8" ht="15.95" customHeight="1" x14ac:dyDescent="0.25">
      <c r="C43" s="6" t="s">
        <v>43</v>
      </c>
      <c r="D43" s="44">
        <f>COUNTIFS('Bid Log'!I:I,"Sam",'Bid Log'!Q:Q,"Bid Submitted")+COUNTIFS('Bid Log'!I:I,"Sam",'Bid Log'!Q:Q,"Budget Submitted")+COUNTIFS('Bid Log'!I:I,"Sam",'Bid Log'!Q:Q,"In Progress")</f>
        <v>2</v>
      </c>
      <c r="E43" s="8">
        <f>IFERROR(SUMIFS('Bid Log'!P:P,'Bid Log'!I:I,"Sam",'Bid Log'!Q:Q,"Bid Submitted")+SUMIFS('Bid Log'!P:P,'Bid Log'!I:I,"Sam",'Bid Log'!Q:Q,"Budget Submitted")+SUMIFS('Bid Log'!P:P,'Bid Log'!I:I,"Sam",'Bid Log'!Q:Q,"In Progress"),0)</f>
        <v>13847000</v>
      </c>
      <c r="F43" s="44">
        <f ca="1">COUNTIFS('Bid Log'!I:I,"Sam",'Bid Log'!L:L,"&gt;="&amp;TODAY(),'Bid Log'!L:L,"&lt;="&amp;TODAY()+14)</f>
        <v>0</v>
      </c>
    </row>
    <row r="44" spans="2:8" ht="15.95" customHeight="1" x14ac:dyDescent="0.25">
      <c r="C44" s="2" t="s">
        <v>44</v>
      </c>
      <c r="D44" s="43">
        <f>COUNTIFS('Bid Log'!I:I,"No Bid",'Bid Log'!Q:Q,"Bid Submitted")+COUNTIFS('Bid Log'!I:I,"No Bid",'Bid Log'!Q:Q,"Budget Submitted")+COUNTIFS('Bid Log'!I:I,"No Bid",'Bid Log'!Q:Q,"In Progress")</f>
        <v>0</v>
      </c>
      <c r="E44" s="4">
        <f>IFERROR(SUMIFS('Bid Log'!P:P,'Bid Log'!I:I,"No Bid",'Bid Log'!Q:Q,"Bid Submitted")+SUMIFS('Bid Log'!P:P,'Bid Log'!I:I,"No Bid",'Bid Log'!Q:Q,"Budget Submitted")+SUMIFS('Bid Log'!P:P,'Bid Log'!I:I,"No Bid",'Bid Log'!Q:Q,"In Progress"),0)</f>
        <v>0</v>
      </c>
      <c r="F44" s="43">
        <f ca="1">COUNTIFS('Bid Log'!I:I,"No Bid",'Bid Log'!L:L,"&gt;="&amp;TODAY(),'Bid Log'!L:L,"&lt;="&amp;TODAY()+14)</f>
        <v>0</v>
      </c>
    </row>
    <row r="45" spans="2:8" ht="24" customHeight="1" x14ac:dyDescent="0.25">
      <c r="B45" s="86" t="s">
        <v>397</v>
      </c>
      <c r="C45" s="86"/>
      <c r="D45" s="86"/>
      <c r="E45" s="86"/>
      <c r="F45" s="86"/>
      <c r="G45" s="86"/>
      <c r="H45" s="86"/>
    </row>
  </sheetData>
  <mergeCells count="33">
    <mergeCell ref="B36:H36"/>
    <mergeCell ref="B38:H38"/>
    <mergeCell ref="B45:H45"/>
    <mergeCell ref="B31:H31"/>
    <mergeCell ref="B32:D32"/>
    <mergeCell ref="B33:D33"/>
    <mergeCell ref="B34:D34"/>
    <mergeCell ref="B35:D35"/>
    <mergeCell ref="B25:H25"/>
    <mergeCell ref="B26:D26"/>
    <mergeCell ref="B27:D27"/>
    <mergeCell ref="B28:D28"/>
    <mergeCell ref="B29:H29"/>
    <mergeCell ref="B19:D19"/>
    <mergeCell ref="B20:D20"/>
    <mergeCell ref="B21:D21"/>
    <mergeCell ref="B22:D22"/>
    <mergeCell ref="B23:H23"/>
    <mergeCell ref="B13:D13"/>
    <mergeCell ref="B14:D14"/>
    <mergeCell ref="B15:D15"/>
    <mergeCell ref="B16:H16"/>
    <mergeCell ref="B18:H18"/>
    <mergeCell ref="B7:D7"/>
    <mergeCell ref="B8:H8"/>
    <mergeCell ref="B10:H10"/>
    <mergeCell ref="B11:D11"/>
    <mergeCell ref="B12:D12"/>
    <mergeCell ref="B1:H1"/>
    <mergeCell ref="B2:H2"/>
    <mergeCell ref="B4:H4"/>
    <mergeCell ref="B5:D5"/>
    <mergeCell ref="B6:D6"/>
  </mergeCells>
  <pageMargins left="0.7" right="0.7" top="0.75" bottom="0.75" header="0.3" footer="0.3"/>
  <pageSetup orientation="portrait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C00000"/>
  </sheetPr>
  <dimension ref="B1:H32"/>
  <sheetViews>
    <sheetView showGridLines="0" workbookViewId="0"/>
  </sheetViews>
  <sheetFormatPr defaultRowHeight="15" x14ac:dyDescent="0.25"/>
  <cols>
    <col min="1" max="1" width="2" customWidth="1"/>
    <col min="2" max="2" width="28" customWidth="1"/>
    <col min="3" max="3" width="20" customWidth="1"/>
    <col min="4" max="7" width="16" customWidth="1"/>
    <col min="8" max="8" width="14" customWidth="1"/>
    <col min="9" max="9" width="2" customWidth="1"/>
  </cols>
  <sheetData>
    <row r="1" spans="2:8" ht="32.1" customHeight="1" x14ac:dyDescent="0.25">
      <c r="B1" s="87" t="s">
        <v>398</v>
      </c>
      <c r="C1" s="87"/>
      <c r="D1" s="87"/>
      <c r="E1" s="87"/>
      <c r="F1" s="87"/>
      <c r="G1" s="87"/>
      <c r="H1" s="87"/>
    </row>
    <row r="2" spans="2:8" ht="18" customHeight="1" x14ac:dyDescent="0.25">
      <c r="B2" s="79" t="s">
        <v>399</v>
      </c>
      <c r="C2" s="79"/>
      <c r="D2" s="79"/>
      <c r="E2" s="79"/>
      <c r="F2" s="79"/>
      <c r="G2" s="79"/>
      <c r="H2" s="79"/>
    </row>
    <row r="3" spans="2:8" ht="8.1" customHeight="1" x14ac:dyDescent="0.25"/>
    <row r="4" spans="2:8" ht="21.95" customHeight="1" x14ac:dyDescent="0.25">
      <c r="B4" s="83" t="s">
        <v>400</v>
      </c>
      <c r="C4" s="83"/>
      <c r="D4" s="83"/>
      <c r="E4" s="83"/>
      <c r="F4" s="83"/>
      <c r="G4" s="83"/>
    </row>
    <row r="5" spans="2:8" ht="20.100000000000001" customHeight="1" x14ac:dyDescent="0.25">
      <c r="B5" s="88" t="s">
        <v>401</v>
      </c>
      <c r="C5" s="88"/>
      <c r="D5" s="88"/>
      <c r="E5" s="88"/>
      <c r="F5" s="41">
        <f>COUNTIF('Bid Log'!Q:Q,"Bid Submitted")+COUNTIF('Bid Log'!Q:Q,"Budget Submitted")+COUNTIF('Bid Log'!Q:Q,"ROM Submitted")+COUNTIF('Bid Log'!Q:Q,"In Progress")</f>
        <v>57</v>
      </c>
    </row>
    <row r="6" spans="2:8" ht="20.100000000000001" customHeight="1" x14ac:dyDescent="0.25">
      <c r="B6" s="88" t="s">
        <v>371</v>
      </c>
      <c r="C6" s="88"/>
      <c r="D6" s="88"/>
      <c r="E6" s="88"/>
      <c r="F6" s="41">
        <f ca="1">COUNTIF('Bid Log'!AE:AE,"OVERDUE")</f>
        <v>0</v>
      </c>
    </row>
    <row r="7" spans="2:8" ht="20.100000000000001" customHeight="1" x14ac:dyDescent="0.25">
      <c r="B7" s="88" t="s">
        <v>402</v>
      </c>
      <c r="C7" s="88"/>
      <c r="D7" s="88"/>
      <c r="E7" s="88"/>
      <c r="F7" s="41">
        <f ca="1">COUNTIF('Bid Log'!AE:AE,"DUE SOON")</f>
        <v>0</v>
      </c>
    </row>
    <row r="8" spans="2:8" ht="20.100000000000001" customHeight="1" x14ac:dyDescent="0.25">
      <c r="B8" s="88" t="s">
        <v>373</v>
      </c>
      <c r="C8" s="88"/>
      <c r="D8" s="88"/>
      <c r="E8" s="88"/>
      <c r="F8" s="41">
        <f ca="1">COUNTIF('Bid Log'!AE:AE,"MISSING")</f>
        <v>51</v>
      </c>
    </row>
    <row r="9" spans="2:8" ht="20.100000000000001" customHeight="1" x14ac:dyDescent="0.25">
      <c r="B9" s="88" t="s">
        <v>403</v>
      </c>
      <c r="C9" s="88"/>
      <c r="D9" s="88"/>
      <c r="E9" s="88"/>
      <c r="F9" s="41">
        <f>COUNTIFS('Bid Log'!Y:Y,"",'Bid Log'!Q:Q,"Bid Submitted")+COUNTIFS('Bid Log'!Y:Y,"",'Bid Log'!Q:Q,"Budget Submitted")</f>
        <v>51</v>
      </c>
    </row>
    <row r="10" spans="2:8" ht="8.1" customHeight="1" x14ac:dyDescent="0.25"/>
    <row r="11" spans="2:8" ht="21.95" customHeight="1" x14ac:dyDescent="0.25">
      <c r="B11" s="83" t="s">
        <v>404</v>
      </c>
      <c r="C11" s="83"/>
      <c r="D11" s="83"/>
      <c r="E11" s="83"/>
      <c r="F11" s="83"/>
      <c r="G11" s="83"/>
    </row>
    <row r="12" spans="2:8" ht="20.100000000000001" customHeight="1" x14ac:dyDescent="0.25">
      <c r="B12" s="88" t="s">
        <v>405</v>
      </c>
      <c r="C12" s="88"/>
      <c r="D12" s="88"/>
      <c r="E12" s="88"/>
      <c r="F12" s="41">
        <f ca="1">COUNTIFS('Bid Log'!AD:AD,"&gt;0",'Bid Log'!AD:AD,"&lt;=30")</f>
        <v>8</v>
      </c>
    </row>
    <row r="13" spans="2:8" ht="20.100000000000001" customHeight="1" x14ac:dyDescent="0.25">
      <c r="B13" s="88" t="s">
        <v>406</v>
      </c>
      <c r="C13" s="88"/>
      <c r="D13" s="88"/>
      <c r="E13" s="88"/>
      <c r="F13" s="41">
        <f ca="1">COUNTIFS('Bid Log'!AD:AD,"&gt;30",'Bid Log'!AD:AD,"&lt;=60")</f>
        <v>17</v>
      </c>
    </row>
    <row r="14" spans="2:8" ht="20.100000000000001" customHeight="1" x14ac:dyDescent="0.25">
      <c r="B14" s="88" t="s">
        <v>407</v>
      </c>
      <c r="C14" s="88"/>
      <c r="D14" s="88"/>
      <c r="E14" s="88"/>
      <c r="F14" s="41">
        <f ca="1">COUNTIFS('Bid Log'!AD:AD,"&gt;60",'Bid Log'!AD:AD,"&lt;&gt;")</f>
        <v>31</v>
      </c>
    </row>
    <row r="15" spans="2:8" ht="20.100000000000001" customHeight="1" x14ac:dyDescent="0.25">
      <c r="B15" s="88" t="s">
        <v>408</v>
      </c>
      <c r="C15" s="88"/>
      <c r="D15" s="88"/>
      <c r="E15" s="88"/>
      <c r="F15" s="42">
        <f ca="1">IFERROR(SUMPRODUCT(('Bid Log'!AD2:AD2001&gt;0)*('Bid Log'!AD2:AD2001&lt;=30)*'Bid Log'!P2:P2001),0)</f>
        <v>0</v>
      </c>
    </row>
    <row r="16" spans="2:8" ht="20.100000000000001" customHeight="1" x14ac:dyDescent="0.25">
      <c r="B16" s="88" t="s">
        <v>409</v>
      </c>
      <c r="C16" s="88"/>
      <c r="D16" s="88"/>
      <c r="E16" s="88"/>
      <c r="F16" s="42">
        <f ca="1">IFERROR(SUMPRODUCT(('Bid Log'!AD2:AD2001&gt;30)*('Bid Log'!AD2:AD2001&lt;=60)*'Bid Log'!P2:P2001),0)</f>
        <v>0</v>
      </c>
    </row>
    <row r="17" spans="2:7" ht="20.100000000000001" customHeight="1" x14ac:dyDescent="0.25">
      <c r="B17" s="88" t="s">
        <v>410</v>
      </c>
      <c r="C17" s="88"/>
      <c r="D17" s="88"/>
      <c r="E17" s="88"/>
      <c r="F17" s="42">
        <f ca="1">IFERROR(SUMPRODUCT(('Bid Log'!AD2:AD2001&gt;60)*'Bid Log'!P2:P2001),0)</f>
        <v>0</v>
      </c>
    </row>
    <row r="18" spans="2:7" ht="8.1" customHeight="1" x14ac:dyDescent="0.25"/>
    <row r="19" spans="2:7" ht="21.95" customHeight="1" x14ac:dyDescent="0.25">
      <c r="B19" s="83" t="s">
        <v>411</v>
      </c>
      <c r="C19" s="83"/>
      <c r="D19" s="83"/>
      <c r="E19" s="83"/>
      <c r="F19" s="83"/>
      <c r="G19" s="83"/>
    </row>
    <row r="20" spans="2:7" ht="20.100000000000001" customHeight="1" x14ac:dyDescent="0.25">
      <c r="B20" s="88" t="s">
        <v>412</v>
      </c>
      <c r="C20" s="88"/>
      <c r="D20" s="88"/>
      <c r="E20" s="88"/>
      <c r="F20" s="41">
        <f>COUNTIFS('Bid Log'!P:P,"&gt;1000000",'Bid Log'!Q:Q,"Bid Submitted")+COUNTIFS('Bid Log'!P:P,"&gt;1000000",'Bid Log'!Q:Q,"Budget Submitted")</f>
        <v>29</v>
      </c>
    </row>
    <row r="21" spans="2:7" ht="20.100000000000001" customHeight="1" x14ac:dyDescent="0.25">
      <c r="B21" s="88" t="s">
        <v>413</v>
      </c>
      <c r="C21" s="88"/>
      <c r="D21" s="88"/>
      <c r="E21" s="88"/>
      <c r="F21" s="42">
        <f>IFERROR(SUMPRODUCT(('Bid Log'!P2:P2001&gt;1000000)*(('Bid Log'!Q2:Q2001="Bid Submitted")+('Bid Log'!Q2:Q2001="Budget Submitted")&gt;0)*'Bid Log'!P2:P2001),0)</f>
        <v>0</v>
      </c>
    </row>
    <row r="22" spans="2:7" ht="20.100000000000001" customHeight="1" x14ac:dyDescent="0.25">
      <c r="B22" s="88" t="s">
        <v>414</v>
      </c>
      <c r="C22" s="88"/>
      <c r="D22" s="88"/>
      <c r="E22" s="88"/>
      <c r="F22" s="41">
        <f>IFERROR(SUMPRODUCT(('Bid Log'!P2:P2001&gt;500000)*(('Bid Log'!Q2:Q2001="Bid Submitted")+('Bid Log'!Q2:Q2001="Budget Submitted")&gt;0)*('Bid Log'!X2:X2001="")),0)</f>
        <v>34</v>
      </c>
    </row>
    <row r="23" spans="2:7" ht="8.1" customHeight="1" x14ac:dyDescent="0.25"/>
    <row r="24" spans="2:7" ht="21.95" customHeight="1" x14ac:dyDescent="0.25">
      <c r="B24" s="83" t="s">
        <v>415</v>
      </c>
      <c r="C24" s="83"/>
      <c r="D24" s="83"/>
      <c r="E24" s="83"/>
      <c r="F24" s="83"/>
      <c r="G24" s="83"/>
    </row>
    <row r="25" spans="2:7" ht="18" customHeight="1" x14ac:dyDescent="0.25">
      <c r="C25" s="45" t="s">
        <v>78</v>
      </c>
      <c r="D25" s="45" t="s">
        <v>416</v>
      </c>
      <c r="E25" s="45" t="s">
        <v>417</v>
      </c>
      <c r="F25" s="45" t="s">
        <v>418</v>
      </c>
      <c r="G25" s="45" t="s">
        <v>419</v>
      </c>
    </row>
    <row r="26" spans="2:7" ht="15.95" customHeight="1" x14ac:dyDescent="0.25">
      <c r="C26" s="2" t="s">
        <v>40</v>
      </c>
      <c r="D26" s="43">
        <f>COUNTIFS('Bid Log'!Y:Y,"Patrick",'Bid Log'!AE:AE,"OVERDUE")</f>
        <v>0</v>
      </c>
      <c r="E26" s="43">
        <f>COUNTIFS('Bid Log'!Y:Y,"Patrick",'Bid Log'!AE:AE,"DUE SOON")</f>
        <v>0</v>
      </c>
      <c r="F26" s="43">
        <f>COUNTIFS('Bid Log'!Y:Y,"Patrick",'Bid Log'!AE:AE,"MISSING")</f>
        <v>0</v>
      </c>
      <c r="G26" s="43">
        <f>COUNTIFS('Bid Log'!Y:Y,"Patrick",'Bid Log'!Q:Q,"Bid Submitted")+COUNTIFS('Bid Log'!Y:Y,"Patrick",'Bid Log'!Q:Q,"Budget Submitted")</f>
        <v>0</v>
      </c>
    </row>
    <row r="27" spans="2:7" ht="15.95" customHeight="1" x14ac:dyDescent="0.25">
      <c r="C27" s="6" t="s">
        <v>41</v>
      </c>
      <c r="D27" s="44">
        <f>COUNTIFS('Bid Log'!Y:Y,"Cristhian",'Bid Log'!AE:AE,"OVERDUE")</f>
        <v>0</v>
      </c>
      <c r="E27" s="44">
        <f>COUNTIFS('Bid Log'!Y:Y,"Cristhian",'Bid Log'!AE:AE,"DUE SOON")</f>
        <v>0</v>
      </c>
      <c r="F27" s="44">
        <f>COUNTIFS('Bid Log'!Y:Y,"Cristhian",'Bid Log'!AE:AE,"MISSING")</f>
        <v>0</v>
      </c>
      <c r="G27" s="44">
        <f>COUNTIFS('Bid Log'!Y:Y,"Cristhian",'Bid Log'!Q:Q,"Bid Submitted")+COUNTIFS('Bid Log'!Y:Y,"Cristhian",'Bid Log'!Q:Q,"Budget Submitted")</f>
        <v>0</v>
      </c>
    </row>
    <row r="28" spans="2:7" ht="15.95" customHeight="1" x14ac:dyDescent="0.25">
      <c r="C28" s="2" t="s">
        <v>42</v>
      </c>
      <c r="D28" s="43">
        <f>COUNTIFS('Bid Log'!Y:Y,"Les",'Bid Log'!AE:AE,"OVERDUE")</f>
        <v>0</v>
      </c>
      <c r="E28" s="43">
        <f>COUNTIFS('Bid Log'!Y:Y,"Les",'Bid Log'!AE:AE,"DUE SOON")</f>
        <v>0</v>
      </c>
      <c r="F28" s="43">
        <f>COUNTIFS('Bid Log'!Y:Y,"Les",'Bid Log'!AE:AE,"MISSING")</f>
        <v>0</v>
      </c>
      <c r="G28" s="43">
        <f>COUNTIFS('Bid Log'!Y:Y,"Les",'Bid Log'!Q:Q,"Bid Submitted")+COUNTIFS('Bid Log'!Y:Y,"Les",'Bid Log'!Q:Q,"Budget Submitted")</f>
        <v>0</v>
      </c>
    </row>
    <row r="29" spans="2:7" ht="15.95" customHeight="1" x14ac:dyDescent="0.25">
      <c r="C29" s="6" t="s">
        <v>43</v>
      </c>
      <c r="D29" s="44">
        <f>COUNTIFS('Bid Log'!Y:Y,"Sam",'Bid Log'!AE:AE,"OVERDUE")</f>
        <v>0</v>
      </c>
      <c r="E29" s="44">
        <f>COUNTIFS('Bid Log'!Y:Y,"Sam",'Bid Log'!AE:AE,"DUE SOON")</f>
        <v>0</v>
      </c>
      <c r="F29" s="44">
        <f>COUNTIFS('Bid Log'!Y:Y,"Sam",'Bid Log'!AE:AE,"MISSING")</f>
        <v>0</v>
      </c>
      <c r="G29" s="44">
        <f>COUNTIFS('Bid Log'!Y:Y,"Sam",'Bid Log'!Q:Q,"Bid Submitted")+COUNTIFS('Bid Log'!Y:Y,"Sam",'Bid Log'!Q:Q,"Budget Submitted")</f>
        <v>0</v>
      </c>
    </row>
    <row r="30" spans="2:7" ht="15.95" customHeight="1" x14ac:dyDescent="0.25">
      <c r="C30" s="2" t="s">
        <v>92</v>
      </c>
      <c r="D30" s="43">
        <f>COUNTIFS('Bid Log'!Y:Y,"Stephen",'Bid Log'!AE:AE,"OVERDUE")</f>
        <v>0</v>
      </c>
      <c r="E30" s="43">
        <f>COUNTIFS('Bid Log'!Y:Y,"Stephen",'Bid Log'!AE:AE,"DUE SOON")</f>
        <v>0</v>
      </c>
      <c r="F30" s="43">
        <f>COUNTIFS('Bid Log'!Y:Y,"Stephen",'Bid Log'!AE:AE,"MISSING")</f>
        <v>0</v>
      </c>
      <c r="G30" s="43">
        <f>COUNTIFS('Bid Log'!Y:Y,"Stephen",'Bid Log'!Q:Q,"Bid Submitted")+COUNTIFS('Bid Log'!Y:Y,"Stephen",'Bid Log'!Q:Q,"Budget Submitted")</f>
        <v>0</v>
      </c>
    </row>
    <row r="31" spans="2:7" ht="15.95" customHeight="1" x14ac:dyDescent="0.25">
      <c r="C31" s="6" t="s">
        <v>420</v>
      </c>
      <c r="D31" s="44">
        <f>COUNTIFS('Bid Log'!Y:Y,"VP Preconstruction",'Bid Log'!AE:AE,"OVERDUE")</f>
        <v>0</v>
      </c>
      <c r="E31" s="44">
        <f>COUNTIFS('Bid Log'!Y:Y,"VP Preconstruction",'Bid Log'!AE:AE,"DUE SOON")</f>
        <v>0</v>
      </c>
      <c r="F31" s="44">
        <f>COUNTIFS('Bid Log'!Y:Y,"VP Preconstruction",'Bid Log'!AE:AE,"MISSING")</f>
        <v>0</v>
      </c>
      <c r="G31" s="44">
        <f>COUNTIFS('Bid Log'!Y:Y,"VP Preconstruction",'Bid Log'!Q:Q,"Bid Submitted")+COUNTIFS('Bid Log'!Y:Y,"VP Preconstruction",'Bid Log'!Q:Q,"Budget Submitted")</f>
        <v>0</v>
      </c>
    </row>
    <row r="32" spans="2:7" ht="15.95" customHeight="1" x14ac:dyDescent="0.25">
      <c r="C32" s="2" t="s">
        <v>421</v>
      </c>
      <c r="D32" s="43">
        <f>COUNTIFS('Bid Log'!Y:Y,"President",'Bid Log'!AE:AE,"OVERDUE")</f>
        <v>0</v>
      </c>
      <c r="E32" s="43">
        <f>COUNTIFS('Bid Log'!Y:Y,"President",'Bid Log'!AE:AE,"DUE SOON")</f>
        <v>0</v>
      </c>
      <c r="F32" s="43">
        <f>COUNTIFS('Bid Log'!Y:Y,"President",'Bid Log'!AE:AE,"MISSING")</f>
        <v>0</v>
      </c>
      <c r="G32" s="43">
        <f>COUNTIFS('Bid Log'!Y:Y,"President",'Bid Log'!Q:Q,"Bid Submitted")+COUNTIFS('Bid Log'!Y:Y,"President",'Bid Log'!Q:Q,"Budget Submitted")</f>
        <v>0</v>
      </c>
    </row>
  </sheetData>
  <mergeCells count="20">
    <mergeCell ref="B19:G19"/>
    <mergeCell ref="B20:E20"/>
    <mergeCell ref="B21:E21"/>
    <mergeCell ref="B22:E22"/>
    <mergeCell ref="B24:G24"/>
    <mergeCell ref="B13:E13"/>
    <mergeCell ref="B14:E14"/>
    <mergeCell ref="B15:E15"/>
    <mergeCell ref="B16:E16"/>
    <mergeCell ref="B17:E17"/>
    <mergeCell ref="B7:E7"/>
    <mergeCell ref="B8:E8"/>
    <mergeCell ref="B9:E9"/>
    <mergeCell ref="B11:G11"/>
    <mergeCell ref="B12:E12"/>
    <mergeCell ref="B1:H1"/>
    <mergeCell ref="B2:H2"/>
    <mergeCell ref="B4:G4"/>
    <mergeCell ref="B5:E5"/>
    <mergeCell ref="B6:E6"/>
  </mergeCells>
  <pageMargins left="0.7" right="0.7" top="0.75" bottom="0.75" header="0.3" footer="0.3"/>
  <pageSetup orientation="portrait" horizontalDpi="4294967295" verticalDpi="429496729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C000"/>
  </sheetPr>
  <dimension ref="B1:D33"/>
  <sheetViews>
    <sheetView showGridLines="0" workbookViewId="0"/>
  </sheetViews>
  <sheetFormatPr defaultRowHeight="15" x14ac:dyDescent="0.25"/>
  <cols>
    <col min="1" max="1" width="2" customWidth="1"/>
    <col min="2" max="2" width="32" customWidth="1"/>
    <col min="3" max="3" width="24" customWidth="1"/>
    <col min="4" max="4" width="16" customWidth="1"/>
    <col min="5" max="5" width="2" customWidth="1"/>
  </cols>
  <sheetData>
    <row r="1" spans="2:4" ht="32.1" customHeight="1" x14ac:dyDescent="0.25">
      <c r="B1" s="89" t="s">
        <v>422</v>
      </c>
      <c r="C1" s="89"/>
      <c r="D1" s="89"/>
    </row>
    <row r="2" spans="2:4" ht="18" customHeight="1" x14ac:dyDescent="0.25">
      <c r="B2" s="79" t="s">
        <v>423</v>
      </c>
      <c r="C2" s="79"/>
      <c r="D2" s="79"/>
    </row>
    <row r="3" spans="2:4" ht="8.1" customHeight="1" x14ac:dyDescent="0.25"/>
    <row r="4" spans="2:4" ht="21.95" customHeight="1" x14ac:dyDescent="0.25">
      <c r="B4" s="69" t="s">
        <v>424</v>
      </c>
      <c r="C4" s="69"/>
      <c r="D4" s="69"/>
    </row>
    <row r="5" spans="2:4" ht="18" customHeight="1" x14ac:dyDescent="0.25">
      <c r="B5" s="1" t="s">
        <v>425</v>
      </c>
      <c r="C5" s="1" t="s">
        <v>426</v>
      </c>
      <c r="D5" s="1" t="s">
        <v>71</v>
      </c>
    </row>
    <row r="6" spans="2:4" ht="20.100000000000001" customHeight="1" x14ac:dyDescent="0.25">
      <c r="B6" s="21" t="s">
        <v>427</v>
      </c>
      <c r="C6" s="46">
        <f>COUNTIFS('Bid Log'!A:A,"&lt;&gt;",'Bid Log'!B:B,"")</f>
        <v>0</v>
      </c>
      <c r="D6" s="47" t="str">
        <f>IF(C6=0,"OK","*** FIX NEEDED")</f>
        <v>OK</v>
      </c>
    </row>
    <row r="7" spans="2:4" ht="20.100000000000001" customHeight="1" x14ac:dyDescent="0.25">
      <c r="B7" s="32" t="s">
        <v>428</v>
      </c>
      <c r="C7" s="41">
        <f>COUNTIFS('Bid Log'!B:B,"&lt;&gt;",'Bid Log'!C:C,"")</f>
        <v>11</v>
      </c>
      <c r="D7" s="48" t="str">
        <f>IF(C7=0,"OK","*** FIX NEEDED")</f>
        <v>*** FIX NEEDED</v>
      </c>
    </row>
    <row r="8" spans="2:4" ht="20.100000000000001" customHeight="1" x14ac:dyDescent="0.25">
      <c r="B8" s="21" t="s">
        <v>429</v>
      </c>
      <c r="C8" s="46">
        <f>COUNTIFS('Bid Log'!B:B,"&lt;&gt;",'Bid Log'!I:I,"")</f>
        <v>1</v>
      </c>
      <c r="D8" s="47" t="str">
        <f>IF(C8=0,"OK","*** FIX NEEDED")</f>
        <v>*** FIX NEEDED</v>
      </c>
    </row>
    <row r="9" spans="2:4" ht="20.100000000000001" customHeight="1" x14ac:dyDescent="0.25">
      <c r="B9" s="32" t="s">
        <v>430</v>
      </c>
      <c r="C9" s="41">
        <f>COUNTIFS('Bid Log'!B:B,"&lt;&gt;",'Bid Log'!L:L,"")</f>
        <v>73</v>
      </c>
      <c r="D9" s="48" t="str">
        <f>IF(C9=0,"OK","*** FIX NEEDED")</f>
        <v>*** FIX NEEDED</v>
      </c>
    </row>
    <row r="10" spans="2:4" ht="20.100000000000001" customHeight="1" x14ac:dyDescent="0.25">
      <c r="B10" s="21" t="s">
        <v>431</v>
      </c>
      <c r="C10" s="46">
        <f>COUNTIFS('Bid Log'!B:B,"&lt;&gt;",'Bid Log'!P:P,"",'Bid Log'!Q:Q,"&lt;&gt;In Progress",'Bid Log'!Q:Q,"&lt;&gt;No Bid",'Bid Log'!Q:Q,"&lt;&gt;On Hold")</f>
        <v>0</v>
      </c>
      <c r="D10" s="47" t="str">
        <f>IF(C10=0,"OK","*** FIX NEEDED")</f>
        <v>OK</v>
      </c>
    </row>
    <row r="11" spans="2:4" ht="8.1" customHeight="1" x14ac:dyDescent="0.25"/>
    <row r="12" spans="2:4" ht="21.95" customHeight="1" x14ac:dyDescent="0.25">
      <c r="B12" s="84" t="s">
        <v>432</v>
      </c>
      <c r="C12" s="84"/>
      <c r="D12" s="84"/>
    </row>
    <row r="13" spans="2:4" ht="18" customHeight="1" x14ac:dyDescent="0.25">
      <c r="B13" s="1" t="s">
        <v>425</v>
      </c>
      <c r="C13" s="1" t="s">
        <v>426</v>
      </c>
      <c r="D13" s="1" t="s">
        <v>71</v>
      </c>
    </row>
    <row r="14" spans="2:4" ht="20.100000000000001" customHeight="1" x14ac:dyDescent="0.25">
      <c r="B14" s="21" t="s">
        <v>433</v>
      </c>
      <c r="C14" s="46">
        <f>COUNTIFS('Bid Log'!Q:Q,"Awarded",'Bid Log'!R:R,"")</f>
        <v>0</v>
      </c>
      <c r="D14" s="47" t="str">
        <f>IF(C14=0,"OK","*** FIX NEEDED")</f>
        <v>OK</v>
      </c>
    </row>
    <row r="15" spans="2:4" ht="8.1" customHeight="1" x14ac:dyDescent="0.25"/>
    <row r="16" spans="2:4" ht="21.95" customHeight="1" x14ac:dyDescent="0.25">
      <c r="B16" s="83" t="s">
        <v>434</v>
      </c>
      <c r="C16" s="83"/>
      <c r="D16" s="83"/>
    </row>
    <row r="17" spans="2:4" ht="18" customHeight="1" x14ac:dyDescent="0.25">
      <c r="B17" s="1" t="s">
        <v>425</v>
      </c>
      <c r="C17" s="1" t="s">
        <v>426</v>
      </c>
      <c r="D17" s="1" t="s">
        <v>71</v>
      </c>
    </row>
    <row r="18" spans="2:4" ht="20.100000000000001" customHeight="1" x14ac:dyDescent="0.25">
      <c r="B18" s="21" t="s">
        <v>435</v>
      </c>
      <c r="C18" s="46">
        <f>COUNTIFS('Bid Log'!Q:Q,"Lost",'Bid Log'!U:U,"")</f>
        <v>9</v>
      </c>
      <c r="D18" s="47" t="str">
        <f>IF(C18=0,"OK","*** FIX NEEDED")</f>
        <v>*** FIX NEEDED</v>
      </c>
    </row>
    <row r="19" spans="2:4" ht="8.1" customHeight="1" x14ac:dyDescent="0.25"/>
    <row r="20" spans="2:4" ht="21.95" customHeight="1" x14ac:dyDescent="0.25">
      <c r="B20" s="85" t="s">
        <v>436</v>
      </c>
      <c r="C20" s="85"/>
      <c r="D20" s="85"/>
    </row>
    <row r="21" spans="2:4" ht="18" customHeight="1" x14ac:dyDescent="0.25">
      <c r="B21" s="1" t="s">
        <v>425</v>
      </c>
      <c r="C21" s="1" t="s">
        <v>426</v>
      </c>
      <c r="D21" s="1" t="s">
        <v>71</v>
      </c>
    </row>
    <row r="22" spans="2:4" ht="20.100000000000001" customHeight="1" x14ac:dyDescent="0.25">
      <c r="B22" s="21" t="s">
        <v>437</v>
      </c>
      <c r="C22" s="46">
        <f ca="1">COUNTIF('Bid Log'!AE:AE,"MISSING")</f>
        <v>51</v>
      </c>
      <c r="D22" s="47" t="str">
        <f ca="1">IF(C22=0,"OK","*** FIX NEEDED")</f>
        <v>*** FIX NEEDED</v>
      </c>
    </row>
    <row r="23" spans="2:4" ht="20.100000000000001" customHeight="1" x14ac:dyDescent="0.25">
      <c r="B23" s="32" t="s">
        <v>438</v>
      </c>
      <c r="C23" s="41">
        <f>COUNTIFS('Bid Log'!Y:Y,"",'Bid Log'!Q:Q,"Bid Submitted")+COUNTIFS('Bid Log'!Y:Y,"",'Bid Log'!Q:Q,"Budget Submitted")</f>
        <v>51</v>
      </c>
      <c r="D23" s="48" t="str">
        <f>IF(C23=0,"OK","*** FIX NEEDED")</f>
        <v>*** FIX NEEDED</v>
      </c>
    </row>
    <row r="24" spans="2:4" ht="20.100000000000001" customHeight="1" x14ac:dyDescent="0.25">
      <c r="B24" s="21" t="s">
        <v>439</v>
      </c>
      <c r="C24" s="46">
        <f ca="1">COUNTIF('Bid Log'!AE:AE,"OVERDUE")</f>
        <v>0</v>
      </c>
      <c r="D24" s="47" t="str">
        <f ca="1">IF(C24=0,"OK","*** FIX NEEDED")</f>
        <v>OK</v>
      </c>
    </row>
    <row r="25" spans="2:4" ht="8.1" customHeight="1" x14ac:dyDescent="0.25"/>
    <row r="26" spans="2:4" ht="21.95" customHeight="1" x14ac:dyDescent="0.25">
      <c r="B26" s="80" t="s">
        <v>440</v>
      </c>
      <c r="C26" s="80"/>
      <c r="D26" s="80"/>
    </row>
    <row r="27" spans="2:4" ht="18" customHeight="1" x14ac:dyDescent="0.25">
      <c r="B27" s="1" t="s">
        <v>425</v>
      </c>
      <c r="C27" s="1" t="s">
        <v>426</v>
      </c>
      <c r="D27" s="1" t="s">
        <v>71</v>
      </c>
    </row>
    <row r="28" spans="2:4" ht="20.100000000000001" customHeight="1" x14ac:dyDescent="0.25">
      <c r="B28" s="21" t="s">
        <v>441</v>
      </c>
      <c r="C28" s="46">
        <f ca="1">COUNTIFS('Bid Log'!L:L,"&lt;"&amp;TODAY(),'Bid Log'!Q:Q,"In Progress")</f>
        <v>0</v>
      </c>
      <c r="D28" s="47" t="str">
        <f ca="1">IF(C28=0,"OK","*** FIX NEEDED")</f>
        <v>OK</v>
      </c>
    </row>
    <row r="29" spans="2:4" ht="20.100000000000001" customHeight="1" x14ac:dyDescent="0.25">
      <c r="B29" s="32" t="s">
        <v>442</v>
      </c>
      <c r="C29" s="41">
        <f ca="1">COUNTIFS('Bid Log'!AD:AD,"&gt;60",'Bid Log'!AD:AD,"&lt;&gt;")</f>
        <v>31</v>
      </c>
      <c r="D29" s="48" t="str">
        <f ca="1">IF(C29=0,"OK","*** FIX NEEDED")</f>
        <v>*** FIX NEEDED</v>
      </c>
    </row>
    <row r="30" spans="2:4" ht="8.1" customHeight="1" x14ac:dyDescent="0.25"/>
    <row r="31" spans="2:4" ht="21.95" customHeight="1" x14ac:dyDescent="0.25">
      <c r="B31" s="90" t="s">
        <v>443</v>
      </c>
      <c r="C31" s="90"/>
      <c r="D31" s="90"/>
    </row>
    <row r="32" spans="2:4" ht="18" customHeight="1" x14ac:dyDescent="0.25">
      <c r="B32" s="1" t="s">
        <v>425</v>
      </c>
      <c r="C32" s="1" t="s">
        <v>426</v>
      </c>
      <c r="D32" s="1" t="s">
        <v>71</v>
      </c>
    </row>
    <row r="33" spans="2:4" ht="20.100000000000001" customHeight="1" x14ac:dyDescent="0.25">
      <c r="B33" s="32" t="s">
        <v>444</v>
      </c>
      <c r="C33" s="41">
        <f ca="1">COUNTIFS('Bid Log'!A:A,"&lt;&gt;",'Bid Log'!AF:AF,"&lt;&gt;OK")</f>
        <v>64</v>
      </c>
      <c r="D33" s="48" t="str">
        <f ca="1">IF(C33=0,"OK","*** FIX NEEDED")</f>
        <v>*** FIX NEEDED</v>
      </c>
    </row>
  </sheetData>
  <mergeCells count="8">
    <mergeCell ref="B20:D20"/>
    <mergeCell ref="B26:D26"/>
    <mergeCell ref="B31:D31"/>
    <mergeCell ref="B1:D1"/>
    <mergeCell ref="B2:D2"/>
    <mergeCell ref="B4:D4"/>
    <mergeCell ref="B12:D12"/>
    <mergeCell ref="B16:D16"/>
  </mergeCells>
  <conditionalFormatting sqref="D6:D10">
    <cfRule type="expression" dxfId="11" priority="1">
      <formula>C6=0</formula>
    </cfRule>
    <cfRule type="expression" dxfId="10" priority="2">
      <formula>C6&gt;0</formula>
    </cfRule>
  </conditionalFormatting>
  <conditionalFormatting sqref="D14">
    <cfRule type="expression" dxfId="9" priority="11">
      <formula>C14=0</formula>
    </cfRule>
    <cfRule type="expression" dxfId="8" priority="12">
      <formula>C14&gt;0</formula>
    </cfRule>
  </conditionalFormatting>
  <conditionalFormatting sqref="D18">
    <cfRule type="expression" dxfId="7" priority="13">
      <formula>C18=0</formula>
    </cfRule>
    <cfRule type="expression" dxfId="6" priority="14">
      <formula>C18&gt;0</formula>
    </cfRule>
  </conditionalFormatting>
  <conditionalFormatting sqref="D22:D24">
    <cfRule type="expression" dxfId="5" priority="15">
      <formula>C22=0</formula>
    </cfRule>
    <cfRule type="expression" dxfId="4" priority="16">
      <formula>C22&gt;0</formula>
    </cfRule>
  </conditionalFormatting>
  <conditionalFormatting sqref="D28:D29">
    <cfRule type="expression" dxfId="3" priority="21">
      <formula>C28=0</formula>
    </cfRule>
    <cfRule type="expression" dxfId="2" priority="22">
      <formula>C28&gt;0</formula>
    </cfRule>
  </conditionalFormatting>
  <conditionalFormatting sqref="D33">
    <cfRule type="expression" dxfId="1" priority="25">
      <formula>C33=0</formula>
    </cfRule>
    <cfRule type="expression" dxfId="0" priority="26">
      <formula>C33&gt;0</formula>
    </cfRule>
  </conditionalFormatting>
  <pageMargins left="0.7" right="0.7" top="0.75" bottom="0.75" header="0.3" footer="0.3"/>
  <pageSetup orientation="portrait" horizontalDpi="4294967295" verticalDpi="429496729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808080"/>
  </sheetPr>
  <dimension ref="A1:Z39"/>
  <sheetViews>
    <sheetView workbookViewId="0"/>
  </sheetViews>
  <sheetFormatPr defaultRowHeight="15" x14ac:dyDescent="0.25"/>
  <cols>
    <col min="1" max="1" width="22" customWidth="1"/>
    <col min="2" max="2" width="2" customWidth="1"/>
    <col min="3" max="3" width="22" customWidth="1"/>
    <col min="4" max="4" width="2" customWidth="1"/>
    <col min="5" max="5" width="22" customWidth="1"/>
    <col min="6" max="6" width="2" customWidth="1"/>
    <col min="7" max="7" width="22" customWidth="1"/>
    <col min="8" max="8" width="2" customWidth="1"/>
    <col min="9" max="9" width="22" customWidth="1"/>
    <col min="10" max="10" width="2" customWidth="1"/>
    <col min="11" max="11" width="22" customWidth="1"/>
    <col min="12" max="12" width="2" customWidth="1"/>
    <col min="13" max="13" width="22" customWidth="1"/>
    <col min="14" max="14" width="2" customWidth="1"/>
    <col min="15" max="15" width="22" customWidth="1"/>
    <col min="16" max="16" width="2" customWidth="1"/>
    <col min="17" max="17" width="22" customWidth="1"/>
    <col min="18" max="18" width="2" customWidth="1"/>
    <col min="19" max="19" width="22" customWidth="1"/>
    <col min="20" max="20" width="2" customWidth="1"/>
    <col min="21" max="21" width="22" customWidth="1"/>
    <col min="23" max="24" width="2" customWidth="1"/>
  </cols>
  <sheetData>
    <row r="1" spans="1:26" ht="32.1" customHeight="1" x14ac:dyDescent="0.25">
      <c r="A1" s="53" t="s">
        <v>445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</row>
    <row r="2" spans="1:26" ht="15.95" customHeight="1" x14ac:dyDescent="0.25">
      <c r="A2" s="91" t="s">
        <v>446</v>
      </c>
      <c r="B2" s="91"/>
      <c r="C2" s="91"/>
      <c r="D2" s="91"/>
      <c r="E2" s="91"/>
      <c r="F2" s="91"/>
      <c r="G2" s="91"/>
      <c r="H2" s="91"/>
      <c r="I2" s="91"/>
      <c r="J2" s="91"/>
      <c r="K2" s="91"/>
      <c r="L2" s="91"/>
      <c r="M2" s="91"/>
      <c r="N2" s="91"/>
      <c r="O2" s="91"/>
      <c r="P2" s="91"/>
      <c r="Q2" s="91"/>
      <c r="R2" s="91"/>
      <c r="S2" s="91"/>
      <c r="T2" s="91"/>
      <c r="U2" s="91"/>
      <c r="V2" s="91"/>
      <c r="W2" s="91"/>
      <c r="X2" s="91"/>
      <c r="Y2" s="91"/>
      <c r="Z2" s="91"/>
    </row>
    <row r="4" spans="1:26" ht="21.95" customHeight="1" x14ac:dyDescent="0.25">
      <c r="A4" s="33" t="s">
        <v>447</v>
      </c>
      <c r="C4" s="33" t="s">
        <v>448</v>
      </c>
      <c r="E4" s="33" t="s">
        <v>449</v>
      </c>
      <c r="G4" s="33" t="s">
        <v>450</v>
      </c>
      <c r="I4" s="33" t="s">
        <v>451</v>
      </c>
      <c r="K4" s="33" t="s">
        <v>452</v>
      </c>
      <c r="M4" s="33" t="s">
        <v>453</v>
      </c>
      <c r="O4" s="33" t="s">
        <v>454</v>
      </c>
      <c r="Q4" s="33" t="s">
        <v>455</v>
      </c>
      <c r="S4" s="33" t="s">
        <v>456</v>
      </c>
      <c r="U4" s="33" t="s">
        <v>457</v>
      </c>
    </row>
    <row r="5" spans="1:26" ht="15.95" customHeight="1" x14ac:dyDescent="0.25">
      <c r="A5" s="11" t="s">
        <v>40</v>
      </c>
      <c r="C5" s="11" t="s">
        <v>253</v>
      </c>
      <c r="E5" s="11" t="s">
        <v>19</v>
      </c>
      <c r="G5" s="11" t="s">
        <v>132</v>
      </c>
      <c r="I5" s="11" t="s">
        <v>458</v>
      </c>
      <c r="K5" s="11" t="s">
        <v>91</v>
      </c>
      <c r="M5" s="11" t="s">
        <v>48</v>
      </c>
      <c r="O5" s="11" t="s">
        <v>459</v>
      </c>
      <c r="Q5" s="11" t="s">
        <v>117</v>
      </c>
      <c r="S5" s="11" t="s">
        <v>40</v>
      </c>
      <c r="U5" s="11" t="s">
        <v>92</v>
      </c>
    </row>
    <row r="6" spans="1:26" ht="15.95" customHeight="1" x14ac:dyDescent="0.25">
      <c r="A6" s="22" t="s">
        <v>41</v>
      </c>
      <c r="C6" s="22" t="s">
        <v>460</v>
      </c>
      <c r="E6" s="22" t="s">
        <v>20</v>
      </c>
      <c r="G6" s="22" t="s">
        <v>233</v>
      </c>
      <c r="I6" s="22" t="s">
        <v>234</v>
      </c>
      <c r="K6" s="22" t="s">
        <v>461</v>
      </c>
      <c r="M6" s="22" t="s">
        <v>49</v>
      </c>
      <c r="O6" s="22" t="s">
        <v>462</v>
      </c>
      <c r="Q6" s="22" t="s">
        <v>101</v>
      </c>
      <c r="S6" s="22" t="s">
        <v>41</v>
      </c>
      <c r="U6" s="22" t="s">
        <v>44</v>
      </c>
    </row>
    <row r="7" spans="1:26" ht="15.95" customHeight="1" x14ac:dyDescent="0.25">
      <c r="A7" s="11" t="s">
        <v>42</v>
      </c>
      <c r="C7" s="11" t="s">
        <v>463</v>
      </c>
      <c r="E7" s="11" t="s">
        <v>21</v>
      </c>
      <c r="G7" s="11" t="s">
        <v>90</v>
      </c>
      <c r="I7" s="11" t="s">
        <v>464</v>
      </c>
      <c r="K7" s="11" t="s">
        <v>266</v>
      </c>
      <c r="M7" s="11" t="s">
        <v>50</v>
      </c>
      <c r="O7" s="11" t="s">
        <v>465</v>
      </c>
      <c r="Q7" s="11" t="s">
        <v>155</v>
      </c>
      <c r="S7" s="11" t="s">
        <v>42</v>
      </c>
    </row>
    <row r="8" spans="1:26" ht="15.95" customHeight="1" x14ac:dyDescent="0.25">
      <c r="A8" s="22" t="s">
        <v>43</v>
      </c>
      <c r="C8" s="22" t="s">
        <v>93</v>
      </c>
      <c r="E8" s="22" t="s">
        <v>22</v>
      </c>
      <c r="G8" s="22" t="s">
        <v>266</v>
      </c>
      <c r="I8" s="22" t="s">
        <v>466</v>
      </c>
      <c r="K8" s="22" t="s">
        <v>235</v>
      </c>
      <c r="M8" s="22" t="s">
        <v>51</v>
      </c>
      <c r="Q8" s="22" t="s">
        <v>221</v>
      </c>
      <c r="S8" s="22" t="s">
        <v>43</v>
      </c>
    </row>
    <row r="9" spans="1:26" ht="15.95" customHeight="1" x14ac:dyDescent="0.25">
      <c r="A9" s="11" t="s">
        <v>44</v>
      </c>
      <c r="C9" s="11" t="s">
        <v>38</v>
      </c>
      <c r="E9" s="11" t="s">
        <v>23</v>
      </c>
      <c r="G9" s="11" t="s">
        <v>467</v>
      </c>
      <c r="I9" s="11" t="s">
        <v>91</v>
      </c>
      <c r="K9" s="11" t="s">
        <v>468</v>
      </c>
      <c r="M9" s="11" t="s">
        <v>52</v>
      </c>
      <c r="Q9" s="11" t="s">
        <v>139</v>
      </c>
      <c r="S9" s="11" t="s">
        <v>92</v>
      </c>
    </row>
    <row r="10" spans="1:26" ht="15.95" customHeight="1" x14ac:dyDescent="0.25">
      <c r="C10" s="22" t="s">
        <v>39</v>
      </c>
      <c r="E10" s="22" t="s">
        <v>24</v>
      </c>
      <c r="G10" s="22" t="s">
        <v>245</v>
      </c>
      <c r="I10" s="22" t="s">
        <v>461</v>
      </c>
      <c r="K10" s="22" t="s">
        <v>469</v>
      </c>
      <c r="M10" s="22" t="s">
        <v>53</v>
      </c>
      <c r="Q10" s="22" t="s">
        <v>147</v>
      </c>
      <c r="S10" s="22" t="s">
        <v>420</v>
      </c>
    </row>
    <row r="11" spans="1:26" ht="15.95" customHeight="1" x14ac:dyDescent="0.25">
      <c r="C11" s="11" t="s">
        <v>44</v>
      </c>
      <c r="E11" s="11" t="s">
        <v>25</v>
      </c>
      <c r="I11" s="11" t="s">
        <v>266</v>
      </c>
      <c r="M11" s="11" t="s">
        <v>54</v>
      </c>
      <c r="Q11" s="11" t="s">
        <v>143</v>
      </c>
      <c r="S11" s="11" t="s">
        <v>421</v>
      </c>
    </row>
    <row r="12" spans="1:26" ht="15.95" customHeight="1" x14ac:dyDescent="0.25">
      <c r="C12" s="22" t="s">
        <v>470</v>
      </c>
      <c r="E12" s="22" t="s">
        <v>26</v>
      </c>
      <c r="M12" s="22" t="s">
        <v>55</v>
      </c>
      <c r="Q12" s="22" t="s">
        <v>169</v>
      </c>
    </row>
    <row r="13" spans="1:26" ht="15.95" customHeight="1" x14ac:dyDescent="0.25">
      <c r="E13" s="11" t="s">
        <v>27</v>
      </c>
      <c r="M13" s="11" t="s">
        <v>56</v>
      </c>
      <c r="Q13" s="11" t="s">
        <v>225</v>
      </c>
    </row>
    <row r="14" spans="1:26" ht="15.95" customHeight="1" x14ac:dyDescent="0.25">
      <c r="E14" s="22" t="s">
        <v>28</v>
      </c>
      <c r="Q14" s="22" t="s">
        <v>196</v>
      </c>
    </row>
    <row r="15" spans="1:26" ht="15.95" customHeight="1" x14ac:dyDescent="0.25">
      <c r="E15" s="11" t="s">
        <v>29</v>
      </c>
      <c r="Q15" s="11" t="s">
        <v>205</v>
      </c>
    </row>
    <row r="16" spans="1:26" ht="15.95" customHeight="1" x14ac:dyDescent="0.25">
      <c r="E16" s="22" t="s">
        <v>30</v>
      </c>
      <c r="Q16" s="22" t="s">
        <v>294</v>
      </c>
    </row>
    <row r="17" spans="5:17" ht="15.95" customHeight="1" x14ac:dyDescent="0.25">
      <c r="E17" s="11" t="s">
        <v>31</v>
      </c>
      <c r="Q17" s="11" t="s">
        <v>265</v>
      </c>
    </row>
    <row r="18" spans="5:17" ht="15.95" customHeight="1" x14ac:dyDescent="0.25">
      <c r="E18" s="22" t="s">
        <v>32</v>
      </c>
      <c r="Q18" s="22" t="s">
        <v>192</v>
      </c>
    </row>
    <row r="19" spans="5:17" ht="15.95" customHeight="1" x14ac:dyDescent="0.25">
      <c r="E19" s="11" t="s">
        <v>33</v>
      </c>
      <c r="Q19" s="11" t="s">
        <v>249</v>
      </c>
    </row>
    <row r="20" spans="5:17" ht="15.95" customHeight="1" x14ac:dyDescent="0.25">
      <c r="Q20" s="22" t="s">
        <v>310</v>
      </c>
    </row>
    <row r="21" spans="5:17" ht="15.95" customHeight="1" x14ac:dyDescent="0.25">
      <c r="Q21" s="11" t="s">
        <v>88</v>
      </c>
    </row>
    <row r="22" spans="5:17" ht="15.95" customHeight="1" x14ac:dyDescent="0.25">
      <c r="Q22" s="22" t="s">
        <v>97</v>
      </c>
    </row>
    <row r="23" spans="5:17" ht="15.95" customHeight="1" x14ac:dyDescent="0.25">
      <c r="Q23" s="11" t="s">
        <v>188</v>
      </c>
    </row>
    <row r="24" spans="5:17" ht="15.95" customHeight="1" x14ac:dyDescent="0.25">
      <c r="Q24" s="22" t="s">
        <v>110</v>
      </c>
    </row>
    <row r="25" spans="5:17" ht="15.95" customHeight="1" x14ac:dyDescent="0.25">
      <c r="Q25" s="11" t="s">
        <v>290</v>
      </c>
    </row>
    <row r="26" spans="5:17" ht="15.95" customHeight="1" x14ac:dyDescent="0.25">
      <c r="Q26" s="22" t="s">
        <v>173</v>
      </c>
    </row>
    <row r="27" spans="5:17" ht="15.95" customHeight="1" x14ac:dyDescent="0.25">
      <c r="Q27" s="11" t="s">
        <v>177</v>
      </c>
    </row>
    <row r="28" spans="5:17" ht="15.95" customHeight="1" x14ac:dyDescent="0.25">
      <c r="Q28" s="22" t="s">
        <v>244</v>
      </c>
    </row>
    <row r="29" spans="5:17" ht="15.95" customHeight="1" x14ac:dyDescent="0.25">
      <c r="Q29" s="11" t="s">
        <v>125</v>
      </c>
    </row>
    <row r="30" spans="5:17" ht="15.95" customHeight="1" x14ac:dyDescent="0.25">
      <c r="Q30" s="22" t="s">
        <v>300</v>
      </c>
    </row>
    <row r="31" spans="5:17" ht="15.95" customHeight="1" x14ac:dyDescent="0.25">
      <c r="Q31" s="11" t="s">
        <v>113</v>
      </c>
    </row>
    <row r="32" spans="5:17" ht="15.95" customHeight="1" x14ac:dyDescent="0.25">
      <c r="Q32" s="22" t="s">
        <v>105</v>
      </c>
    </row>
    <row r="33" spans="17:17" ht="15.95" customHeight="1" x14ac:dyDescent="0.25">
      <c r="Q33" s="11" t="s">
        <v>229</v>
      </c>
    </row>
    <row r="34" spans="17:17" ht="15.95" customHeight="1" x14ac:dyDescent="0.25">
      <c r="Q34" s="22" t="s">
        <v>209</v>
      </c>
    </row>
    <row r="35" spans="17:17" ht="15.95" customHeight="1" x14ac:dyDescent="0.25">
      <c r="Q35" s="11" t="s">
        <v>200</v>
      </c>
    </row>
    <row r="36" spans="17:17" ht="15.95" customHeight="1" x14ac:dyDescent="0.25">
      <c r="Q36" s="22" t="s">
        <v>131</v>
      </c>
    </row>
    <row r="37" spans="17:17" ht="15.95" customHeight="1" x14ac:dyDescent="0.25">
      <c r="Q37" s="11" t="s">
        <v>284</v>
      </c>
    </row>
    <row r="38" spans="17:17" ht="15.95" customHeight="1" x14ac:dyDescent="0.25">
      <c r="Q38" s="22" t="s">
        <v>240</v>
      </c>
    </row>
    <row r="39" spans="17:17" ht="15.95" customHeight="1" x14ac:dyDescent="0.25">
      <c r="Q39" s="11" t="s">
        <v>56</v>
      </c>
    </row>
  </sheetData>
  <mergeCells count="2">
    <mergeCell ref="A1:Z1"/>
    <mergeCell ref="A2:Z2"/>
  </mergeCells>
  <pageMargins left="0.7" right="0.7" top="0.75" bottom="0.75" header="0.3" footer="0.3"/>
  <pageSetup orientation="portrait" horizontalDpi="4294967295" verticalDpi="429496729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4472C4"/>
  </sheetPr>
  <dimension ref="B1:C40"/>
  <sheetViews>
    <sheetView showGridLines="0" workbookViewId="0"/>
  </sheetViews>
  <sheetFormatPr defaultRowHeight="15" x14ac:dyDescent="0.25"/>
  <cols>
    <col min="1" max="1" width="2" customWidth="1"/>
    <col min="2" max="2" width="24" customWidth="1"/>
    <col min="3" max="3" width="68" customWidth="1"/>
  </cols>
  <sheetData>
    <row r="1" spans="2:3" ht="32.1" customHeight="1" x14ac:dyDescent="0.25">
      <c r="B1" s="92" t="s">
        <v>471</v>
      </c>
      <c r="C1" s="92"/>
    </row>
    <row r="2" spans="2:3" ht="8.1" customHeight="1" x14ac:dyDescent="0.25"/>
    <row r="3" spans="2:3" ht="26.1" customHeight="1" x14ac:dyDescent="0.25">
      <c r="B3" s="69" t="s">
        <v>472</v>
      </c>
      <c r="C3" s="69"/>
    </row>
    <row r="4" spans="2:3" ht="50.1" customHeight="1" x14ac:dyDescent="0.25">
      <c r="B4" s="49" t="s">
        <v>473</v>
      </c>
      <c r="C4" s="50" t="s">
        <v>474</v>
      </c>
    </row>
    <row r="5" spans="2:3" ht="50.1" customHeight="1" x14ac:dyDescent="0.25">
      <c r="B5" s="51" t="s">
        <v>475</v>
      </c>
      <c r="C5" s="52" t="s">
        <v>476</v>
      </c>
    </row>
    <row r="6" spans="2:3" ht="8.1" customHeight="1" x14ac:dyDescent="0.25"/>
    <row r="7" spans="2:3" ht="26.1" customHeight="1" x14ac:dyDescent="0.25">
      <c r="B7" s="69" t="s">
        <v>477</v>
      </c>
      <c r="C7" s="69"/>
    </row>
    <row r="8" spans="2:3" ht="50.1" customHeight="1" x14ac:dyDescent="0.25">
      <c r="B8" s="49" t="s">
        <v>478</v>
      </c>
      <c r="C8" s="50" t="s">
        <v>479</v>
      </c>
    </row>
    <row r="9" spans="2:3" ht="50.1" customHeight="1" x14ac:dyDescent="0.25">
      <c r="B9" s="51" t="s">
        <v>480</v>
      </c>
      <c r="C9" s="52" t="s">
        <v>481</v>
      </c>
    </row>
    <row r="10" spans="2:3" ht="50.1" customHeight="1" x14ac:dyDescent="0.25">
      <c r="B10" s="49" t="s">
        <v>482</v>
      </c>
      <c r="C10" s="50" t="s">
        <v>483</v>
      </c>
    </row>
    <row r="11" spans="2:3" ht="50.1" customHeight="1" x14ac:dyDescent="0.25">
      <c r="B11" s="51" t="s">
        <v>484</v>
      </c>
      <c r="C11" s="52" t="s">
        <v>485</v>
      </c>
    </row>
    <row r="12" spans="2:3" ht="50.1" customHeight="1" x14ac:dyDescent="0.25">
      <c r="B12" s="49" t="s">
        <v>486</v>
      </c>
      <c r="C12" s="50" t="s">
        <v>487</v>
      </c>
    </row>
    <row r="13" spans="2:3" ht="50.1" customHeight="1" x14ac:dyDescent="0.25">
      <c r="B13" s="51" t="s">
        <v>488</v>
      </c>
      <c r="C13" s="52" t="s">
        <v>489</v>
      </c>
    </row>
    <row r="14" spans="2:3" ht="8.1" customHeight="1" x14ac:dyDescent="0.25"/>
    <row r="15" spans="2:3" ht="26.1" customHeight="1" x14ac:dyDescent="0.25">
      <c r="B15" s="69" t="s">
        <v>490</v>
      </c>
      <c r="C15" s="69"/>
    </row>
    <row r="16" spans="2:3" ht="50.1" customHeight="1" x14ac:dyDescent="0.25">
      <c r="B16" s="49" t="s">
        <v>253</v>
      </c>
      <c r="C16" s="50" t="s">
        <v>491</v>
      </c>
    </row>
    <row r="17" spans="2:3" ht="50.1" customHeight="1" x14ac:dyDescent="0.25">
      <c r="B17" s="51" t="s">
        <v>460</v>
      </c>
      <c r="C17" s="52" t="s">
        <v>492</v>
      </c>
    </row>
    <row r="18" spans="2:3" ht="50.1" customHeight="1" x14ac:dyDescent="0.25">
      <c r="B18" s="49" t="s">
        <v>463</v>
      </c>
      <c r="C18" s="50" t="s">
        <v>493</v>
      </c>
    </row>
    <row r="19" spans="2:3" ht="50.1" customHeight="1" x14ac:dyDescent="0.25">
      <c r="B19" s="51" t="s">
        <v>93</v>
      </c>
      <c r="C19" s="52" t="s">
        <v>494</v>
      </c>
    </row>
    <row r="20" spans="2:3" ht="50.1" customHeight="1" x14ac:dyDescent="0.25">
      <c r="B20" s="49" t="s">
        <v>38</v>
      </c>
      <c r="C20" s="50" t="s">
        <v>495</v>
      </c>
    </row>
    <row r="21" spans="2:3" ht="50.1" customHeight="1" x14ac:dyDescent="0.25">
      <c r="B21" s="51" t="s">
        <v>39</v>
      </c>
      <c r="C21" s="52" t="s">
        <v>496</v>
      </c>
    </row>
    <row r="22" spans="2:3" ht="50.1" customHeight="1" x14ac:dyDescent="0.25">
      <c r="B22" s="49" t="s">
        <v>44</v>
      </c>
      <c r="C22" s="50" t="s">
        <v>497</v>
      </c>
    </row>
    <row r="23" spans="2:3" ht="50.1" customHeight="1" x14ac:dyDescent="0.25">
      <c r="B23" s="51" t="s">
        <v>470</v>
      </c>
      <c r="C23" s="52" t="s">
        <v>498</v>
      </c>
    </row>
    <row r="24" spans="2:3" ht="8.1" customHeight="1" x14ac:dyDescent="0.25"/>
    <row r="25" spans="2:3" ht="26.1" customHeight="1" x14ac:dyDescent="0.25">
      <c r="B25" s="69" t="s">
        <v>499</v>
      </c>
      <c r="C25" s="69"/>
    </row>
    <row r="26" spans="2:3" ht="50.1" customHeight="1" x14ac:dyDescent="0.25">
      <c r="B26" s="49" t="s">
        <v>500</v>
      </c>
      <c r="C26" s="50" t="s">
        <v>501</v>
      </c>
    </row>
    <row r="27" spans="2:3" ht="50.1" customHeight="1" x14ac:dyDescent="0.25">
      <c r="B27" s="51" t="s">
        <v>502</v>
      </c>
      <c r="C27" s="52" t="s">
        <v>503</v>
      </c>
    </row>
    <row r="28" spans="2:3" ht="50.1" customHeight="1" x14ac:dyDescent="0.25">
      <c r="B28" s="49" t="s">
        <v>504</v>
      </c>
      <c r="C28" s="50" t="s">
        <v>505</v>
      </c>
    </row>
    <row r="29" spans="2:3" ht="50.1" customHeight="1" x14ac:dyDescent="0.25">
      <c r="B29" s="51" t="s">
        <v>506</v>
      </c>
      <c r="C29" s="52" t="s">
        <v>507</v>
      </c>
    </row>
    <row r="30" spans="2:3" ht="8.1" customHeight="1" x14ac:dyDescent="0.25"/>
    <row r="31" spans="2:3" ht="26.1" customHeight="1" x14ac:dyDescent="0.25">
      <c r="B31" s="69" t="s">
        <v>508</v>
      </c>
      <c r="C31" s="69"/>
    </row>
    <row r="32" spans="2:3" ht="50.1" customHeight="1" x14ac:dyDescent="0.25">
      <c r="B32" s="49" t="s">
        <v>509</v>
      </c>
      <c r="C32" s="50" t="s">
        <v>510</v>
      </c>
    </row>
    <row r="33" spans="2:3" ht="50.1" customHeight="1" x14ac:dyDescent="0.25">
      <c r="B33" s="51" t="s">
        <v>511</v>
      </c>
      <c r="C33" s="52" t="s">
        <v>512</v>
      </c>
    </row>
    <row r="34" spans="2:3" ht="50.1" customHeight="1" x14ac:dyDescent="0.25">
      <c r="B34" s="49" t="s">
        <v>513</v>
      </c>
      <c r="C34" s="50" t="s">
        <v>514</v>
      </c>
    </row>
    <row r="35" spans="2:3" ht="8.1" customHeight="1" x14ac:dyDescent="0.25"/>
    <row r="36" spans="2:3" ht="26.1" customHeight="1" x14ac:dyDescent="0.25">
      <c r="B36" s="69" t="s">
        <v>515</v>
      </c>
      <c r="C36" s="69"/>
    </row>
    <row r="37" spans="2:3" ht="50.1" customHeight="1" x14ac:dyDescent="0.25">
      <c r="B37" s="51" t="s">
        <v>516</v>
      </c>
      <c r="C37" s="52" t="s">
        <v>517</v>
      </c>
    </row>
    <row r="38" spans="2:3" ht="50.1" customHeight="1" x14ac:dyDescent="0.25">
      <c r="B38" s="49" t="s">
        <v>518</v>
      </c>
      <c r="C38" s="50" t="s">
        <v>519</v>
      </c>
    </row>
    <row r="39" spans="2:3" ht="50.1" customHeight="1" x14ac:dyDescent="0.25">
      <c r="B39" s="51" t="s">
        <v>520</v>
      </c>
      <c r="C39" s="52" t="s">
        <v>521</v>
      </c>
    </row>
    <row r="40" spans="2:3" ht="50.1" customHeight="1" x14ac:dyDescent="0.25">
      <c r="B40" s="49" t="s">
        <v>522</v>
      </c>
      <c r="C40" s="50" t="s">
        <v>523</v>
      </c>
    </row>
  </sheetData>
  <mergeCells count="7">
    <mergeCell ref="B31:C31"/>
    <mergeCell ref="B36:C36"/>
    <mergeCell ref="B1:C1"/>
    <mergeCell ref="B3:C3"/>
    <mergeCell ref="B7:C7"/>
    <mergeCell ref="B15:C15"/>
    <mergeCell ref="B25:C25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Bid Log</vt:lpstr>
      <vt:lpstr>Go-No-Go</vt:lpstr>
      <vt:lpstr>Friday Meeting</vt:lpstr>
      <vt:lpstr>Follow-Up Control</vt:lpstr>
      <vt:lpstr>Data Quality</vt:lpstr>
      <vt:lpstr>Settings</vt:lpstr>
      <vt:lpstr>Instructions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2026-05-13T13:36:09Z</dcterms:created>
  <dcterms:modified xsi:type="dcterms:W3CDTF">2026-05-13T13:45:45Z</dcterms:modified>
  <cp:category/>
</cp:coreProperties>
</file>